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fig" sheetId="2" state="visible" r:id="rId2"/>
    <sheet name="Ladder" sheetId="3" state="visible" r:id="rId3"/>
    <sheet name="Seam" sheetId="4" state="visible" r:id="rId4"/>
    <sheet name="Dealing window" sheetId="5" state="visible" r:id="rId5"/>
    <sheet name="Specia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2E2A25"/>
      <sz val="15"/>
    </font>
    <font>
      <name val="Arial"/>
      <i val="1"/>
      <color rgb="008A8378"/>
      <sz val="9"/>
    </font>
    <font>
      <name val="Arial"/>
      <b val="1"/>
      <color rgb="002E2A25"/>
      <sz val="10"/>
    </font>
    <font>
      <name val="Arial"/>
      <b val="1"/>
      <color rgb="008A8378"/>
      <sz val="10"/>
    </font>
    <font>
      <name val="Arial"/>
      <color rgb="002E2A25"/>
      <sz val="10"/>
    </font>
    <font>
      <name val="Arial"/>
      <color rgb="000000FF"/>
      <sz val="10"/>
    </font>
    <font>
      <name val="Arial"/>
      <color rgb="008A8378"/>
      <sz val="10"/>
    </font>
  </fonts>
  <fills count="4">
    <fill>
      <patternFill/>
    </fill>
    <fill>
      <patternFill patternType="gray125"/>
    </fill>
    <fill>
      <patternFill patternType="solid">
        <fgColor rgb="00EFEAE0"/>
      </patternFill>
    </fill>
    <fill>
      <patternFill patternType="solid">
        <fgColor rgb="00FAF7F1"/>
      </patternFill>
    </fill>
  </fills>
  <borders count="2">
    <border>
      <left/>
      <right/>
      <top/>
      <bottom/>
      <diagonal/>
    </border>
    <border>
      <bottom style="thin">
        <color rgb="00DDD6CA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6" fillId="0" borderId="0" applyAlignment="1" pivotButton="0" quotePrefix="0" xfId="0">
      <alignment horizontal="center"/>
    </xf>
    <xf numFmtId="0" fontId="5" fillId="0" borderId="0" applyAlignment="1" pivotButton="0" quotePrefix="0" xfId="0">
      <alignment wrapText="1"/>
    </xf>
    <xf numFmtId="0" fontId="5" fillId="0" borderId="0" applyAlignment="1" pivotButton="0" quotePrefix="0" xfId="0">
      <alignment horizontal="center"/>
    </xf>
    <xf numFmtId="3" fontId="6" fillId="0" borderId="0" applyAlignment="1" pivotButton="0" quotePrefix="0" xfId="0">
      <alignment horizontal="center"/>
    </xf>
    <xf numFmtId="9" fontId="6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vertical="center" wrapText="1"/>
    </xf>
    <xf numFmtId="0" fontId="4" fillId="3" borderId="0" pivotButton="0" quotePrefix="0" xfId="0"/>
    <xf numFmtId="0" fontId="5" fillId="3" borderId="0" pivotButton="0" quotePrefix="0" xfId="0"/>
    <xf numFmtId="3" fontId="6" fillId="3" borderId="0" applyAlignment="1" pivotButton="0" quotePrefix="0" xfId="0">
      <alignment horizontal="center"/>
    </xf>
    <xf numFmtId="0" fontId="5" fillId="3" borderId="0" applyAlignment="1" pivotButton="0" quotePrefix="0" xfId="0">
      <alignment vertical="center" wrapText="1"/>
    </xf>
    <xf numFmtId="0" fontId="6" fillId="3" borderId="0" applyAlignment="1" pivotButton="0" quotePrefix="0" xfId="0">
      <alignment horizontal="center"/>
    </xf>
    <xf numFmtId="164" fontId="6" fillId="3" borderId="0" applyAlignment="1" pivotButton="0" quotePrefix="0" xfId="0">
      <alignment horizontal="center"/>
    </xf>
    <xf numFmtId="164" fontId="6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center"/>
    </xf>
    <xf numFmtId="3" fontId="5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5" fillId="3" borderId="0" applyAlignment="1" pivotButton="0" quotePrefix="0" xfId="0">
      <alignment horizontal="center"/>
    </xf>
    <xf numFmtId="0" fontId="3" fillId="3" borderId="0" applyAlignment="1" pivotButton="0" quotePrefix="0" xfId="0">
      <alignment horizontal="left"/>
    </xf>
    <xf numFmtId="0" fontId="7" fillId="3" borderId="0" applyAlignment="1" pivotButton="0" quotePrefix="0" xfId="0">
      <alignment horizontal="center"/>
    </xf>
    <xf numFmtId="164" fontId="5" fillId="3" borderId="0" applyAlignment="1" pivotButton="0" quotePrefix="0" xfId="0">
      <alignment horizontal="center"/>
    </xf>
    <xf numFmtId="3" fontId="5" fillId="3" borderId="0" applyAlignment="1" pivotButton="0" quotePrefix="0" xfId="0">
      <alignment horizontal="center"/>
    </xf>
    <xf numFmtId="0" fontId="7" fillId="3" borderId="0" applyAlignment="1" pivotButton="0" quotePrefix="0" xfId="0">
      <alignment horizontal="left"/>
    </xf>
    <xf numFmtId="164" fontId="5" fillId="0" borderId="0" applyAlignment="1" pivotButton="0" quotePrefix="0" xfId="0">
      <alignment horizontal="center"/>
    </xf>
    <xf numFmtId="2" fontId="5" fillId="0" borderId="0" applyAlignment="1" pivotButton="0" quotePrefix="0" xfId="0">
      <alignment horizontal="center"/>
    </xf>
    <xf numFmtId="2" fontId="5" fillId="3" borderId="0" applyAlignment="1" pivotButton="0" quotePrefix="0" xfId="0">
      <alignment horizontal="center"/>
    </xf>
    <xf numFmtId="9" fontId="5" fillId="3" borderId="0" applyAlignment="1" pivotButton="0" quotePrefix="0" xfId="0">
      <alignment horizontal="center"/>
    </xf>
    <xf numFmtId="9" fontId="5" fillId="0" borderId="0" applyAlignment="1" pivotButton="0" quotePrefix="0" xfId="0">
      <alignment horizontal="center"/>
    </xf>
    <xf numFmtId="9" fontId="6" fillId="3" borderId="0" applyAlignment="1" pivotButton="0" quotePrefix="0" xfId="0">
      <alignment horizontal="center"/>
    </xf>
    <xf numFmtId="3" fontId="6" fillId="0" borderId="0" pivotButton="0" quotePrefix="0" xfId="0"/>
    <xf numFmtId="0" fontId="5" fillId="0" borderId="0" applyAlignment="1" pivotButton="0" quotePrefix="0" xfId="0">
      <alignment vertical="top" wrapText="1"/>
    </xf>
    <xf numFmtId="0" fontId="3" fillId="3" borderId="0" pivotButton="0" quotePrefix="0" xfId="0"/>
    <xf numFmtId="3" fontId="6" fillId="3" borderId="0" pivotButton="0" quotePrefix="0" xfId="0"/>
    <xf numFmtId="0" fontId="5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74" customWidth="1" min="3" max="3"/>
  </cols>
  <sheetData>
    <row r="1">
      <c r="A1" s="1" t="inlineStr">
        <is>
          <t>Grid of Fortune — the whole game on six sheets</t>
        </is>
      </c>
    </row>
    <row r="2">
      <c r="A2" s="2" t="inlineStr">
        <is>
          <t>Generated from the source. Ladder, Seam, Dealing window, Specials and Config are all read out of js/.</t>
        </is>
      </c>
    </row>
    <row r="5">
      <c r="A5" s="3" t="inlineStr">
        <is>
          <t>The rule</t>
        </is>
      </c>
      <c r="B5" s="4" t="inlineStr"/>
      <c r="C5" s="5" t="inlineStr">
        <is>
          <t>Drop one piece into a column. Three of a kind touching merge into one, a rung up.</t>
        </is>
      </c>
    </row>
    <row r="6">
      <c r="A6" s="3" t="inlineStr">
        <is>
          <t>The board</t>
        </is>
      </c>
      <c r="B6" s="6">
        <f>Config!$C$7</f>
        <v/>
      </c>
      <c r="C6" s="5" t="inlineStr">
        <is>
          <t>6 x 6. A full board is the only way a run ends.</t>
        </is>
      </c>
    </row>
    <row r="7">
      <c r="A7" s="3" t="inlineStr">
        <is>
          <t>In hand</t>
        </is>
      </c>
      <c r="B7" s="6">
        <f>Config!$C$9</f>
        <v/>
      </c>
      <c r="C7" s="5" t="inlineStr">
        <is>
          <t>One piece. The whole decision is which column.</t>
        </is>
      </c>
    </row>
    <row r="8">
      <c r="A8" s="3" t="inlineStr">
        <is>
          <t>Merge at</t>
        </is>
      </c>
      <c r="B8" s="6">
        <f>Config!$C$10</f>
        <v/>
      </c>
      <c r="C8" s="5" t="inlineStr">
        <is>
          <t>Same-kind pieces that must touch.</t>
        </is>
      </c>
    </row>
    <row r="9">
      <c r="A9" s="3" t="inlineStr">
        <is>
          <t>Rungs on the ladder</t>
        </is>
      </c>
      <c r="B9" s="7" t="n">
        <v>35</v>
      </c>
      <c r="C9" s="5" t="inlineStr">
        <is>
          <t>Dirt up to Crown. See the Ladder sheet.</t>
        </is>
      </c>
    </row>
    <row r="10">
      <c r="A10" s="3" t="inlineStr">
        <is>
          <t>Rungs dealt at once</t>
        </is>
      </c>
      <c r="B10" s="7" t="n">
        <v>3</v>
      </c>
      <c r="C10" s="5" t="inlineStr">
        <is>
          <t>A moving window of three. Everything below it is stranded for good.</t>
        </is>
      </c>
    </row>
    <row r="11">
      <c r="A11" s="3" t="inlineStr">
        <is>
          <t>Seam steps</t>
        </is>
      </c>
      <c r="B11" s="7" t="n">
        <v>8</v>
      </c>
      <c r="C11" s="5" t="inlineStr">
        <is>
          <t>Pieces fall in on their own, faster as the run goes on. See the Seam sheet.</t>
        </is>
      </c>
    </row>
    <row r="13">
      <c r="A13" s="3" t="inlineStr">
        <is>
          <t>Scoring</t>
        </is>
      </c>
      <c r="B13" s="4" t="inlineStr"/>
      <c r="C13" s="5" t="inlineStr">
        <is>
          <t>Every unit merged pays its own worth: three coal pay three coal, five pay five.</t>
        </is>
      </c>
    </row>
    <row r="14">
      <c r="A14" s="3" t="inlineStr">
        <is>
          <t>Chains</t>
        </is>
      </c>
      <c r="B14" s="6">
        <f>Config!$C$18</f>
        <v/>
      </c>
      <c r="C14" s="5" t="inlineStr">
        <is>
          <t>Biggest multiplier when one merge sets off the next.</t>
        </is>
      </c>
    </row>
    <row r="15">
      <c r="A15" s="3" t="inlineStr">
        <is>
          <t>Blast payout</t>
        </is>
      </c>
      <c r="B15" s="6">
        <f>Config!$C$21</f>
        <v/>
      </c>
      <c r="C15" s="5" t="inlineStr">
        <is>
          <t>Dynamite and the star pay the full worth of what they destroy.</t>
        </is>
      </c>
    </row>
    <row r="17">
      <c r="A17" s="3" t="inlineStr">
        <is>
          <t>Measured run length</t>
        </is>
      </c>
      <c r="B17" s="7" t="n">
        <v>453</v>
      </c>
      <c r="C17" s="5" t="inlineStr">
        <is>
          <t>Median drops, greedy bot, 40 seeded runs. A person jams sooner.</t>
        </is>
      </c>
    </row>
    <row r="18">
      <c r="A18" s="3" t="inlineStr">
        <is>
          <t>Measured score</t>
        </is>
      </c>
      <c r="B18" s="7" t="n">
        <v>54205</v>
      </c>
      <c r="C18" s="5" t="inlineStr">
        <is>
          <t>Median. Score is exponential in how high you climb.</t>
        </is>
      </c>
    </row>
    <row r="19">
      <c r="A19" s="3" t="inlineStr">
        <is>
          <t>Board sits at</t>
        </is>
      </c>
      <c r="B19" s="8" t="n">
        <v>0.43</v>
      </c>
      <c r="C19" s="5" t="inlineStr">
        <is>
          <t>Mean occupancy. Set by the merge rule, not by what falls in.</t>
        </is>
      </c>
    </row>
    <row r="20">
      <c r="A20" s="3" t="inlineStr">
        <is>
          <t>Danger starts at</t>
        </is>
      </c>
      <c r="B20" s="8" t="n">
        <v>0.83</v>
      </c>
      <c r="C20" s="5" t="inlineStr">
        <is>
          <t>At 83% full, 27% of runs end within 15 drops. At 68% it is 0%.</t>
        </is>
      </c>
    </row>
    <row r="22">
      <c r="A22" s="2" t="inlineStr">
        <is>
          <t>Measured figures come from a greedy bot over 40 seeded runs, not from play. Read them as a floor.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74" customWidth="1" min="4" max="4"/>
  </cols>
  <sheetData>
    <row r="1">
      <c r="A1" s="1" t="inlineStr">
        <is>
          <t>Every dial in the game</t>
        </is>
      </c>
    </row>
    <row r="2">
      <c r="A2" s="2" t="inlineStr">
        <is>
          <t>Read straight from js/core/config.js. Blue = a value set in the source; change it there and the game changes. Other sheets reference these cells.</t>
        </is>
      </c>
    </row>
    <row r="4" ht="30" customHeight="1">
      <c r="A4" s="9" t="inlineStr">
        <is>
          <t>Group</t>
        </is>
      </c>
      <c r="B4" s="9" t="inlineStr">
        <is>
          <t>Setting</t>
        </is>
      </c>
      <c r="C4" s="9" t="inlineStr">
        <is>
          <t>Value</t>
        </is>
      </c>
      <c r="D4" s="9" t="inlineStr">
        <is>
          <t>What it does</t>
        </is>
      </c>
    </row>
    <row r="5">
      <c r="A5" s="10" t="inlineStr">
        <is>
          <t>Board</t>
        </is>
      </c>
      <c r="B5" s="11" t="inlineStr">
        <is>
          <t>cols</t>
        </is>
      </c>
      <c r="C5" s="7" t="n">
        <v>6</v>
      </c>
      <c r="D5" s="12" t="inlineStr">
        <is>
          <t>Grid width</t>
        </is>
      </c>
    </row>
    <row r="6">
      <c r="A6" s="13" t="inlineStr">
        <is>
          <t>Board</t>
        </is>
      </c>
      <c r="B6" s="14" t="inlineStr">
        <is>
          <t>rows</t>
        </is>
      </c>
      <c r="C6" s="15" t="n">
        <v>6</v>
      </c>
      <c r="D6" s="16" t="inlineStr">
        <is>
          <t>Grid height</t>
        </is>
      </c>
    </row>
    <row r="7">
      <c r="A7" s="10" t="inlineStr">
        <is>
          <t>Board</t>
        </is>
      </c>
      <c r="B7" s="11" t="inlineStr">
        <is>
          <t>(squares)</t>
        </is>
      </c>
      <c r="C7" s="7" t="n">
        <v>36</v>
      </c>
      <c r="D7" s="12" t="inlineStr">
        <is>
          <t>Total squares</t>
        </is>
      </c>
    </row>
    <row r="8">
      <c r="A8" s="13" t="inlineStr">
        <is>
          <t>Board</t>
        </is>
      </c>
      <c r="B8" s="14" t="inlineStr">
        <is>
          <t>seedPieces</t>
        </is>
      </c>
      <c r="C8" s="15" t="n">
        <v>6</v>
      </c>
      <c r="D8" s="16" t="inlineStr">
        <is>
          <t>Pieces dropped in when a run opens</t>
        </is>
      </c>
    </row>
    <row r="9">
      <c r="A9" s="10" t="inlineStr">
        <is>
          <t>Board</t>
        </is>
      </c>
      <c r="B9" s="11" t="inlineStr">
        <is>
          <t>handSize</t>
        </is>
      </c>
      <c r="C9" s="7" t="n">
        <v>1</v>
      </c>
      <c r="D9" s="12" t="inlineStr">
        <is>
          <t>Pieces held at once - the whole decision is which column</t>
        </is>
      </c>
    </row>
    <row r="10">
      <c r="A10" s="13" t="inlineStr">
        <is>
          <t>Merging</t>
        </is>
      </c>
      <c r="B10" s="14" t="inlineStr">
        <is>
          <t>mergeAt</t>
        </is>
      </c>
      <c r="C10" s="15" t="n">
        <v>3</v>
      </c>
      <c r="D10" s="16" t="inlineStr">
        <is>
          <t>Same-kind pieces that must touch to merge</t>
        </is>
      </c>
    </row>
    <row r="11">
      <c r="A11" s="10" t="inlineStr">
        <is>
          <t>Merging</t>
        </is>
      </c>
      <c r="B11" s="11" t="inlineStr">
        <is>
          <t>surplusStays</t>
        </is>
      </c>
      <c r="C11" s="4" t="b">
        <v>1</v>
      </c>
      <c r="D11" s="12" t="inlineStr">
        <is>
          <t>A run hands back all but two of itself</t>
        </is>
      </c>
    </row>
    <row r="12">
      <c r="A12" s="13" t="inlineStr">
        <is>
          <t>Merging</t>
        </is>
      </c>
      <c r="B12" s="14" t="inlineStr">
        <is>
          <t>surplusMost</t>
        </is>
      </c>
      <c r="C12" s="15" t="n">
        <v>0</v>
      </c>
      <c r="D12" s="16" t="inlineStr">
        <is>
          <t>Cap on pieces handed back (0 = no cap)</t>
        </is>
      </c>
    </row>
    <row r="13">
      <c r="A13" s="10" t="inlineStr">
        <is>
          <t>Merging</t>
        </is>
      </c>
      <c r="B13" s="11" t="inlineStr">
        <is>
          <t>sameInRow</t>
        </is>
      </c>
      <c r="C13" s="7" t="n">
        <v>2</v>
      </c>
      <c r="D13" s="12" t="inlineStr">
        <is>
          <t>Most times the same piece is dealt in a row</t>
        </is>
      </c>
    </row>
    <row r="14">
      <c r="A14" s="13" t="inlineStr">
        <is>
          <t>Merging</t>
        </is>
      </c>
      <c r="B14" s="14" t="inlineStr">
        <is>
          <t>dealBehind</t>
        </is>
      </c>
      <c r="C14" s="15" t="n">
        <v>2</v>
      </c>
      <c r="D14" s="16" t="inlineStr">
        <is>
          <t>How far the dealing window trails your highest</t>
        </is>
      </c>
    </row>
    <row r="15">
      <c r="A15" s="10" t="inlineStr">
        <is>
          <t>Merging</t>
        </is>
      </c>
      <c r="B15" s="11" t="inlineStr">
        <is>
          <t>growStranded</t>
        </is>
      </c>
      <c r="C15" s="4" t="b">
        <v>0</v>
      </c>
      <c r="D15" s="12" t="inlineStr">
        <is>
          <t>Off: nothing grows up behind the window</t>
        </is>
      </c>
    </row>
    <row r="16">
      <c r="A16" s="13" t="inlineStr">
        <is>
          <t>Scoring</t>
        </is>
      </c>
      <c r="B16" s="14" t="inlineStr">
        <is>
          <t>(rule)</t>
        </is>
      </c>
      <c r="C16" s="17" t="inlineStr">
        <is>
          <t>points x units merged</t>
        </is>
      </c>
      <c r="D16" s="16" t="inlineStr">
        <is>
          <t>Every unit merged pays its own worth</t>
        </is>
      </c>
    </row>
    <row r="17">
      <c r="A17" s="10" t="inlineStr">
        <is>
          <t>Scoring</t>
        </is>
      </c>
      <c r="B17" s="11" t="inlineStr">
        <is>
          <t>chainStep</t>
        </is>
      </c>
      <c r="C17" s="7" t="n">
        <v>1</v>
      </c>
      <c r="D17" s="12" t="inlineStr">
        <is>
          <t>Multiplier added per link in a chain</t>
        </is>
      </c>
    </row>
    <row r="18">
      <c r="A18" s="13" t="inlineStr">
        <is>
          <t>Scoring</t>
        </is>
      </c>
      <c r="B18" s="14" t="inlineStr">
        <is>
          <t>chainMost</t>
        </is>
      </c>
      <c r="C18" s="15" t="n">
        <v>5</v>
      </c>
      <c r="D18" s="16" t="inlineStr">
        <is>
          <t>Biggest chain multiplier</t>
        </is>
      </c>
    </row>
    <row r="19">
      <c r="A19" s="10" t="inlineStr">
        <is>
          <t>Scoring</t>
        </is>
      </c>
      <c r="B19" s="11" t="inlineStr">
        <is>
          <t>cashBonus</t>
        </is>
      </c>
      <c r="C19" s="7" t="n">
        <v>2</v>
      </c>
      <c r="D19" s="12" t="inlineStr">
        <is>
          <t>Multiplier when the top rung cashes out</t>
        </is>
      </c>
    </row>
    <row r="20">
      <c r="A20" s="13" t="inlineStr">
        <is>
          <t>Scoring</t>
        </is>
      </c>
      <c r="B20" s="14" t="inlineStr">
        <is>
          <t>cashLeaves</t>
        </is>
      </c>
      <c r="C20" s="17" t="b">
        <v>1</v>
      </c>
      <c r="D20" s="16" t="inlineStr">
        <is>
          <t>A cash-out leaves rubble behind</t>
        </is>
      </c>
    </row>
    <row r="21">
      <c r="A21" s="10" t="inlineStr">
        <is>
          <t>Scoring</t>
        </is>
      </c>
      <c r="B21" s="11" t="inlineStr">
        <is>
          <t>blastPays</t>
        </is>
      </c>
      <c r="C21" s="7" t="n">
        <v>1</v>
      </c>
      <c r="D21" s="12" t="inlineStr">
        <is>
          <t>Share of destroyed worth paid by dynamite and the star</t>
        </is>
      </c>
    </row>
    <row r="22">
      <c r="A22" s="13" t="inlineStr">
        <is>
          <t>Seam</t>
        </is>
      </c>
      <c r="B22" s="14" t="inlineStr">
        <is>
          <t>fallRoom</t>
        </is>
      </c>
      <c r="C22" s="18" t="n">
        <v>0.25</v>
      </c>
      <c r="D22" s="16" t="inlineStr">
        <is>
          <t>A burst is capped at this share of the free squares</t>
        </is>
      </c>
    </row>
    <row r="23">
      <c r="A23" s="10" t="inlineStr">
        <is>
          <t>Seam</t>
        </is>
      </c>
      <c r="B23" s="11" t="inlineStr">
        <is>
          <t>fallLeast</t>
        </is>
      </c>
      <c r="C23" s="7" t="n">
        <v>1</v>
      </c>
      <c r="D23" s="12" t="inlineStr">
        <is>
          <t>but never trimmed below this</t>
        </is>
      </c>
    </row>
    <row r="24">
      <c r="A24" s="13" t="inlineStr">
        <is>
          <t>Seam</t>
        </is>
      </c>
      <c r="B24" s="14" t="inlineStr">
        <is>
          <t>fallEven</t>
        </is>
      </c>
      <c r="C24" s="17" t="b">
        <v>1</v>
      </c>
      <c r="D24" s="16" t="inlineStr">
        <is>
          <t>Bursts land in the columns with the most room</t>
        </is>
      </c>
    </row>
    <row r="25">
      <c r="A25" s="10" t="inlineStr">
        <is>
          <t>Hazards</t>
        </is>
      </c>
      <c r="B25" s="11" t="inlineStr">
        <is>
          <t>dynamiteFrom</t>
        </is>
      </c>
      <c r="C25" s="7" t="n">
        <v>1250</v>
      </c>
      <c r="D25" s="12" t="inlineStr">
        <is>
          <t>Score at which dynamite starts arriving</t>
        </is>
      </c>
    </row>
    <row r="26">
      <c r="A26" s="13" t="inlineStr">
        <is>
          <t>Hazards</t>
        </is>
      </c>
      <c r="B26" s="14" t="inlineStr">
        <is>
          <t>dynamiteChance</t>
        </is>
      </c>
      <c r="C26" s="18" t="n">
        <v>0.07000000000000001</v>
      </c>
      <c r="D26" s="16" t="inlineStr">
        <is>
          <t>Chance per rained piece</t>
        </is>
      </c>
    </row>
    <row r="27">
      <c r="A27" s="10" t="inlineStr">
        <is>
          <t>Hazards</t>
        </is>
      </c>
      <c r="B27" s="11" t="inlineStr">
        <is>
          <t>dynamiteFuse</t>
        </is>
      </c>
      <c r="C27" s="7" t="n">
        <v>12</v>
      </c>
      <c r="D27" s="12" t="inlineStr">
        <is>
          <t>Drops before a stick goes off on its own</t>
        </is>
      </c>
    </row>
    <row r="28">
      <c r="A28" s="13" t="inlineStr">
        <is>
          <t>Hazards</t>
        </is>
      </c>
      <c r="B28" s="14" t="inlineStr">
        <is>
          <t>blastSpacing</t>
        </is>
      </c>
      <c r="C28" s="15" t="n">
        <v>2</v>
      </c>
      <c r="D28" s="16" t="inlineStr">
        <is>
          <t>Columns kept between explosives</t>
        </is>
      </c>
    </row>
    <row r="29">
      <c r="A29" s="10" t="inlineStr">
        <is>
          <t>Hazards</t>
        </is>
      </c>
      <c r="B29" s="11" t="inlineStr">
        <is>
          <t>lodestoneFrom</t>
        </is>
      </c>
      <c r="C29" s="7" t="n">
        <v>6250</v>
      </c>
      <c r="D29" s="12" t="inlineStr">
        <is>
          <t>Score at which stars start arriving</t>
        </is>
      </c>
    </row>
    <row r="30">
      <c r="A30" s="13" t="inlineStr">
        <is>
          <t>Hazards</t>
        </is>
      </c>
      <c r="B30" s="14" t="inlineStr">
        <is>
          <t>lodestoneChance</t>
        </is>
      </c>
      <c r="C30" s="18" t="n">
        <v>0.015</v>
      </c>
      <c r="D30" s="16" t="inlineStr">
        <is>
          <t>Chance per rained piece</t>
        </is>
      </c>
    </row>
    <row r="31">
      <c r="A31" s="10" t="inlineStr">
        <is>
          <t>Hazards</t>
        </is>
      </c>
      <c r="B31" s="11" t="inlineStr">
        <is>
          <t>rubbleFrom</t>
        </is>
      </c>
      <c r="C31" s="7" t="n">
        <v>8</v>
      </c>
      <c r="D31" s="12" t="inlineStr">
        <is>
          <t>Highest tier at which rubble starts arriving</t>
        </is>
      </c>
    </row>
    <row r="32">
      <c r="A32" s="13" t="inlineStr">
        <is>
          <t>Hazards</t>
        </is>
      </c>
      <c r="B32" s="14" t="inlineStr">
        <is>
          <t>rubbleRise</t>
        </is>
      </c>
      <c r="C32" s="18" t="n">
        <v>0.05</v>
      </c>
      <c r="D32" s="16" t="inlineStr">
        <is>
          <t>Chance added per rung above that</t>
        </is>
      </c>
    </row>
    <row r="33">
      <c r="A33" s="10" t="inlineStr">
        <is>
          <t>Hazards</t>
        </is>
      </c>
      <c r="B33" s="11" t="inlineStr">
        <is>
          <t>rubbleMost</t>
        </is>
      </c>
      <c r="C33" s="19" t="n">
        <v>0.45</v>
      </c>
      <c r="D33" s="12" t="inlineStr">
        <is>
          <t>Highest rubble chance</t>
        </is>
      </c>
    </row>
    <row r="34">
      <c r="A34" s="13" t="inlineStr">
        <is>
          <t>Hazards</t>
        </is>
      </c>
      <c r="B34" s="14" t="inlineStr">
        <is>
          <t>rubbleBreaks</t>
        </is>
      </c>
      <c r="C34" s="17" t="b">
        <v>1</v>
      </c>
      <c r="D34" s="16" t="inlineStr">
        <is>
          <t>A merge next to rubble clears 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0" customWidth="1" min="3" max="3"/>
    <col width="11" customWidth="1" min="4" max="4"/>
    <col width="9" customWidth="1" min="5" max="5"/>
    <col width="15" customWidth="1" min="6" max="6"/>
    <col width="11" customWidth="1" min="7" max="7"/>
    <col width="11" customWidth="1" min="8" max="8"/>
    <col width="15" customWidth="1" min="9" max="9"/>
    <col width="15" customWidth="1" min="10" max="10"/>
    <col width="14" customWidth="1" min="11" max="11"/>
  </cols>
  <sheetData>
    <row r="1">
      <c r="A1" s="1" t="inlineStr">
        <is>
          <t>The ladder — 35 rungs</t>
        </is>
      </c>
    </row>
    <row r="2">
      <c r="A2" s="2" t="inlineStr">
        <is>
          <t>Points are the source values (blue). Everything right of them is a formula off those points.</t>
        </is>
      </c>
    </row>
    <row r="4" ht="30" customHeight="1">
      <c r="A4" s="9" t="inlineStr">
        <is>
          <t>Tier</t>
        </is>
      </c>
      <c r="B4" s="9" t="inlineStr">
        <is>
          <t>Piece</t>
        </is>
      </c>
      <c r="C4" s="9" t="inlineStr">
        <is>
          <t>Group</t>
        </is>
      </c>
      <c r="D4" s="9" t="inlineStr">
        <is>
          <t>Points</t>
        </is>
      </c>
      <c r="E4" s="9" t="inlineStr">
        <is>
          <t>Step up</t>
        </is>
      </c>
      <c r="F4" s="9" t="inlineStr">
        <is>
          <t>Merge of 3 pays</t>
        </is>
      </c>
      <c r="G4" s="9" t="inlineStr">
        <is>
          <t>of 4</t>
        </is>
      </c>
      <c r="H4" s="9" t="inlineStr">
        <is>
          <t>of 5</t>
        </is>
      </c>
      <c r="I4" s="9" t="inlineStr">
        <is>
          <t>Merge of 3 at max chain</t>
        </is>
      </c>
      <c r="J4" s="9" t="inlineStr">
        <is>
          <t>Dirt inside one</t>
        </is>
      </c>
      <c r="K4" s="9" t="inlineStr">
        <is>
          <t>Next rung</t>
        </is>
      </c>
    </row>
    <row r="5">
      <c r="A5" s="6" t="n">
        <v>1</v>
      </c>
      <c r="B5" s="20" t="inlineStr">
        <is>
          <t>Dirt</t>
        </is>
      </c>
      <c r="C5" s="21" t="inlineStr">
        <is>
          <t>Metals</t>
        </is>
      </c>
      <c r="D5" s="7" t="n">
        <v>1</v>
      </c>
      <c r="E5" s="21" t="inlineStr">
        <is>
          <t>—</t>
        </is>
      </c>
      <c r="F5" s="22">
        <f>$D5*3</f>
        <v/>
      </c>
      <c r="G5" s="22">
        <f>$D5*4</f>
        <v/>
      </c>
      <c r="H5" s="22">
        <f>$D5*5</f>
        <v/>
      </c>
      <c r="I5" s="22">
        <f>$D5*3*Config!$C$18</f>
        <v/>
      </c>
      <c r="J5" s="22">
        <f>Config!$C$10^(A5-1)</f>
        <v/>
      </c>
      <c r="K5" s="23" t="inlineStr">
        <is>
          <t>Stone</t>
        </is>
      </c>
    </row>
    <row r="6">
      <c r="A6" s="24" t="n">
        <v>2</v>
      </c>
      <c r="B6" s="25" t="inlineStr">
        <is>
          <t>Stone</t>
        </is>
      </c>
      <c r="C6" s="26" t="inlineStr">
        <is>
          <t>Metals</t>
        </is>
      </c>
      <c r="D6" s="15" t="n">
        <v>2</v>
      </c>
      <c r="E6" s="27">
        <f>D6/D5-1</f>
        <v/>
      </c>
      <c r="F6" s="28">
        <f>$D6*3</f>
        <v/>
      </c>
      <c r="G6" s="28">
        <f>$D6*4</f>
        <v/>
      </c>
      <c r="H6" s="28">
        <f>$D6*5</f>
        <v/>
      </c>
      <c r="I6" s="28">
        <f>$D6*3*Config!$C$18</f>
        <v/>
      </c>
      <c r="J6" s="28">
        <f>Config!$C$10^(A6-1)</f>
        <v/>
      </c>
      <c r="K6" s="29" t="inlineStr">
        <is>
          <t>Coal</t>
        </is>
      </c>
    </row>
    <row r="7">
      <c r="A7" s="6" t="n">
        <v>3</v>
      </c>
      <c r="B7" s="20" t="inlineStr">
        <is>
          <t>Coal</t>
        </is>
      </c>
      <c r="C7" s="21" t="inlineStr">
        <is>
          <t>Metals</t>
        </is>
      </c>
      <c r="D7" s="7" t="n">
        <v>3</v>
      </c>
      <c r="E7" s="30">
        <f>D7/D6-1</f>
        <v/>
      </c>
      <c r="F7" s="22">
        <f>$D7*3</f>
        <v/>
      </c>
      <c r="G7" s="22">
        <f>$D7*4</f>
        <v/>
      </c>
      <c r="H7" s="22">
        <f>$D7*5</f>
        <v/>
      </c>
      <c r="I7" s="22">
        <f>$D7*3*Config!$C$18</f>
        <v/>
      </c>
      <c r="J7" s="22">
        <f>Config!$C$10^(A7-1)</f>
        <v/>
      </c>
      <c r="K7" s="23" t="inlineStr">
        <is>
          <t>Iron</t>
        </is>
      </c>
    </row>
    <row r="8">
      <c r="A8" s="24" t="n">
        <v>4</v>
      </c>
      <c r="B8" s="25" t="inlineStr">
        <is>
          <t>Iron</t>
        </is>
      </c>
      <c r="C8" s="26" t="inlineStr">
        <is>
          <t>Metals</t>
        </is>
      </c>
      <c r="D8" s="15" t="n">
        <v>4</v>
      </c>
      <c r="E8" s="27">
        <f>D8/D7-1</f>
        <v/>
      </c>
      <c r="F8" s="28">
        <f>$D8*3</f>
        <v/>
      </c>
      <c r="G8" s="28">
        <f>$D8*4</f>
        <v/>
      </c>
      <c r="H8" s="28">
        <f>$D8*5</f>
        <v/>
      </c>
      <c r="I8" s="28">
        <f>$D8*3*Config!$C$18</f>
        <v/>
      </c>
      <c r="J8" s="28">
        <f>Config!$C$10^(A8-1)</f>
        <v/>
      </c>
      <c r="K8" s="29" t="inlineStr">
        <is>
          <t>Zinc</t>
        </is>
      </c>
    </row>
    <row r="9">
      <c r="A9" s="6" t="n">
        <v>5</v>
      </c>
      <c r="B9" s="20" t="inlineStr">
        <is>
          <t>Zinc</t>
        </is>
      </c>
      <c r="C9" s="21" t="inlineStr">
        <is>
          <t>Metals</t>
        </is>
      </c>
      <c r="D9" s="7" t="n">
        <v>6</v>
      </c>
      <c r="E9" s="30">
        <f>D9/D8-1</f>
        <v/>
      </c>
      <c r="F9" s="22">
        <f>$D9*3</f>
        <v/>
      </c>
      <c r="G9" s="22">
        <f>$D9*4</f>
        <v/>
      </c>
      <c r="H9" s="22">
        <f>$D9*5</f>
        <v/>
      </c>
      <c r="I9" s="22">
        <f>$D9*3*Config!$C$18</f>
        <v/>
      </c>
      <c r="J9" s="22">
        <f>Config!$C$10^(A9-1)</f>
        <v/>
      </c>
      <c r="K9" s="23" t="inlineStr">
        <is>
          <t>Copper</t>
        </is>
      </c>
    </row>
    <row r="10">
      <c r="A10" s="24" t="n">
        <v>6</v>
      </c>
      <c r="B10" s="25" t="inlineStr">
        <is>
          <t>Copper</t>
        </is>
      </c>
      <c r="C10" s="26" t="inlineStr">
        <is>
          <t>Metals</t>
        </is>
      </c>
      <c r="D10" s="15" t="n">
        <v>8</v>
      </c>
      <c r="E10" s="27">
        <f>D10/D9-1</f>
        <v/>
      </c>
      <c r="F10" s="28">
        <f>$D10*3</f>
        <v/>
      </c>
      <c r="G10" s="28">
        <f>$D10*4</f>
        <v/>
      </c>
      <c r="H10" s="28">
        <f>$D10*5</f>
        <v/>
      </c>
      <c r="I10" s="28">
        <f>$D10*3*Config!$C$18</f>
        <v/>
      </c>
      <c r="J10" s="28">
        <f>Config!$C$10^(A10-1)</f>
        <v/>
      </c>
      <c r="K10" s="29" t="inlineStr">
        <is>
          <t>Bronze</t>
        </is>
      </c>
    </row>
    <row r="11">
      <c r="A11" s="6" t="n">
        <v>7</v>
      </c>
      <c r="B11" s="20" t="inlineStr">
        <is>
          <t>Bronze</t>
        </is>
      </c>
      <c r="C11" s="21" t="inlineStr">
        <is>
          <t>Metals</t>
        </is>
      </c>
      <c r="D11" s="7" t="n">
        <v>11</v>
      </c>
      <c r="E11" s="30">
        <f>D11/D10-1</f>
        <v/>
      </c>
      <c r="F11" s="22">
        <f>$D11*3</f>
        <v/>
      </c>
      <c r="G11" s="22">
        <f>$D11*4</f>
        <v/>
      </c>
      <c r="H11" s="22">
        <f>$D11*5</f>
        <v/>
      </c>
      <c r="I11" s="22">
        <f>$D11*3*Config!$C$18</f>
        <v/>
      </c>
      <c r="J11" s="22">
        <f>Config!$C$10^(A11-1)</f>
        <v/>
      </c>
      <c r="K11" s="23" t="inlineStr">
        <is>
          <t>Tin</t>
        </is>
      </c>
    </row>
    <row r="12">
      <c r="A12" s="24" t="n">
        <v>8</v>
      </c>
      <c r="B12" s="25" t="inlineStr">
        <is>
          <t>Tin</t>
        </is>
      </c>
      <c r="C12" s="26" t="inlineStr">
        <is>
          <t>Metals</t>
        </is>
      </c>
      <c r="D12" s="15" t="n">
        <v>15</v>
      </c>
      <c r="E12" s="27">
        <f>D12/D11-1</f>
        <v/>
      </c>
      <c r="F12" s="28">
        <f>$D12*3</f>
        <v/>
      </c>
      <c r="G12" s="28">
        <f>$D12*4</f>
        <v/>
      </c>
      <c r="H12" s="28">
        <f>$D12*5</f>
        <v/>
      </c>
      <c r="I12" s="28">
        <f>$D12*3*Config!$C$18</f>
        <v/>
      </c>
      <c r="J12" s="28">
        <f>Config!$C$10^(A12-1)</f>
        <v/>
      </c>
      <c r="K12" s="29" t="inlineStr">
        <is>
          <t>Titanium</t>
        </is>
      </c>
    </row>
    <row r="13">
      <c r="A13" s="6" t="n">
        <v>9</v>
      </c>
      <c r="B13" s="20" t="inlineStr">
        <is>
          <t>Titanium</t>
        </is>
      </c>
      <c r="C13" s="21" t="inlineStr">
        <is>
          <t>Metals</t>
        </is>
      </c>
      <c r="D13" s="7" t="n">
        <v>21</v>
      </c>
      <c r="E13" s="30">
        <f>D13/D12-1</f>
        <v/>
      </c>
      <c r="F13" s="22">
        <f>$D13*3</f>
        <v/>
      </c>
      <c r="G13" s="22">
        <f>$D13*4</f>
        <v/>
      </c>
      <c r="H13" s="22">
        <f>$D13*5</f>
        <v/>
      </c>
      <c r="I13" s="22">
        <f>$D13*3*Config!$C$18</f>
        <v/>
      </c>
      <c r="J13" s="22">
        <f>Config!$C$10^(A13-1)</f>
        <v/>
      </c>
      <c r="K13" s="23" t="inlineStr">
        <is>
          <t>Silver</t>
        </is>
      </c>
    </row>
    <row r="14">
      <c r="A14" s="24" t="n">
        <v>10</v>
      </c>
      <c r="B14" s="25" t="inlineStr">
        <is>
          <t>Silver</t>
        </is>
      </c>
      <c r="C14" s="26" t="inlineStr">
        <is>
          <t>Metals</t>
        </is>
      </c>
      <c r="D14" s="15" t="n">
        <v>30</v>
      </c>
      <c r="E14" s="27">
        <f>D14/D13-1</f>
        <v/>
      </c>
      <c r="F14" s="28">
        <f>$D14*3</f>
        <v/>
      </c>
      <c r="G14" s="28">
        <f>$D14*4</f>
        <v/>
      </c>
      <c r="H14" s="28">
        <f>$D14*5</f>
        <v/>
      </c>
      <c r="I14" s="28">
        <f>$D14*3*Config!$C$18</f>
        <v/>
      </c>
      <c r="J14" s="28">
        <f>Config!$C$10^(A14-1)</f>
        <v/>
      </c>
      <c r="K14" s="29" t="inlineStr">
        <is>
          <t>Gold</t>
        </is>
      </c>
    </row>
    <row r="15">
      <c r="A15" s="6" t="n">
        <v>11</v>
      </c>
      <c r="B15" s="20" t="inlineStr">
        <is>
          <t>Gold</t>
        </is>
      </c>
      <c r="C15" s="21" t="inlineStr">
        <is>
          <t>Metals</t>
        </is>
      </c>
      <c r="D15" s="7" t="n">
        <v>42</v>
      </c>
      <c r="E15" s="30">
        <f>D15/D14-1</f>
        <v/>
      </c>
      <c r="F15" s="22">
        <f>$D15*3</f>
        <v/>
      </c>
      <c r="G15" s="22">
        <f>$D15*4</f>
        <v/>
      </c>
      <c r="H15" s="22">
        <f>$D15*5</f>
        <v/>
      </c>
      <c r="I15" s="22">
        <f>$D15*3*Config!$C$18</f>
        <v/>
      </c>
      <c r="J15" s="22">
        <f>Config!$C$10^(A15-1)</f>
        <v/>
      </c>
      <c r="K15" s="23" t="inlineStr">
        <is>
          <t>Platinum</t>
        </is>
      </c>
    </row>
    <row r="16">
      <c r="A16" s="24" t="n">
        <v>12</v>
      </c>
      <c r="B16" s="25" t="inlineStr">
        <is>
          <t>Platinum</t>
        </is>
      </c>
      <c r="C16" s="26" t="inlineStr">
        <is>
          <t>Metals</t>
        </is>
      </c>
      <c r="D16" s="15" t="n">
        <v>59</v>
      </c>
      <c r="E16" s="27">
        <f>D16/D15-1</f>
        <v/>
      </c>
      <c r="F16" s="28">
        <f>$D16*3</f>
        <v/>
      </c>
      <c r="G16" s="28">
        <f>$D16*4</f>
        <v/>
      </c>
      <c r="H16" s="28">
        <f>$D16*5</f>
        <v/>
      </c>
      <c r="I16" s="28">
        <f>$D16*3*Config!$C$18</f>
        <v/>
      </c>
      <c r="J16" s="28">
        <f>Config!$C$10^(A16-1)</f>
        <v/>
      </c>
      <c r="K16" s="29" t="inlineStr">
        <is>
          <t>Iridium</t>
        </is>
      </c>
    </row>
    <row r="17">
      <c r="A17" s="6" t="n">
        <v>13</v>
      </c>
      <c r="B17" s="20" t="inlineStr">
        <is>
          <t>Iridium</t>
        </is>
      </c>
      <c r="C17" s="21" t="inlineStr">
        <is>
          <t>Metals</t>
        </is>
      </c>
      <c r="D17" s="7" t="n">
        <v>82</v>
      </c>
      <c r="E17" s="30">
        <f>D17/D16-1</f>
        <v/>
      </c>
      <c r="F17" s="22">
        <f>$D17*3</f>
        <v/>
      </c>
      <c r="G17" s="22">
        <f>$D17*4</f>
        <v/>
      </c>
      <c r="H17" s="22">
        <f>$D17*5</f>
        <v/>
      </c>
      <c r="I17" s="22">
        <f>$D17*3*Config!$C$18</f>
        <v/>
      </c>
      <c r="J17" s="22">
        <f>Config!$C$10^(A17-1)</f>
        <v/>
      </c>
      <c r="K17" s="23" t="inlineStr">
        <is>
          <t>Rhodium</t>
        </is>
      </c>
    </row>
    <row r="18">
      <c r="A18" s="24" t="n">
        <v>14</v>
      </c>
      <c r="B18" s="25" t="inlineStr">
        <is>
          <t>Rhodium</t>
        </is>
      </c>
      <c r="C18" s="26" t="inlineStr">
        <is>
          <t>Metals</t>
        </is>
      </c>
      <c r="D18" s="15" t="n">
        <v>115</v>
      </c>
      <c r="E18" s="27">
        <f>D18/D17-1</f>
        <v/>
      </c>
      <c r="F18" s="28">
        <f>$D18*3</f>
        <v/>
      </c>
      <c r="G18" s="28">
        <f>$D18*4</f>
        <v/>
      </c>
      <c r="H18" s="28">
        <f>$D18*5</f>
        <v/>
      </c>
      <c r="I18" s="28">
        <f>$D18*3*Config!$C$18</f>
        <v/>
      </c>
      <c r="J18" s="28">
        <f>Config!$C$10^(A18-1)</f>
        <v/>
      </c>
      <c r="K18" s="29" t="inlineStr">
        <is>
          <t>Rose Quartz</t>
        </is>
      </c>
    </row>
    <row r="19">
      <c r="A19" s="6" t="n">
        <v>15</v>
      </c>
      <c r="B19" s="20" t="inlineStr">
        <is>
          <t>Rose Quartz</t>
        </is>
      </c>
      <c r="C19" s="21" t="inlineStr">
        <is>
          <t>Gems</t>
        </is>
      </c>
      <c r="D19" s="7" t="n">
        <v>160</v>
      </c>
      <c r="E19" s="30">
        <f>D19/D18-1</f>
        <v/>
      </c>
      <c r="F19" s="22">
        <f>$D19*3</f>
        <v/>
      </c>
      <c r="G19" s="22">
        <f>$D19*4</f>
        <v/>
      </c>
      <c r="H19" s="22">
        <f>$D19*5</f>
        <v/>
      </c>
      <c r="I19" s="22">
        <f>$D19*3*Config!$C$18</f>
        <v/>
      </c>
      <c r="J19" s="22">
        <f>Config!$C$10^(A19-1)</f>
        <v/>
      </c>
      <c r="K19" s="23" t="inlineStr">
        <is>
          <t>Amethyst</t>
        </is>
      </c>
    </row>
    <row r="20">
      <c r="A20" s="24" t="n">
        <v>16</v>
      </c>
      <c r="B20" s="25" t="inlineStr">
        <is>
          <t>Amethyst</t>
        </is>
      </c>
      <c r="C20" s="26" t="inlineStr">
        <is>
          <t>Gems</t>
        </is>
      </c>
      <c r="D20" s="15" t="n">
        <v>225</v>
      </c>
      <c r="E20" s="27">
        <f>D20/D19-1</f>
        <v/>
      </c>
      <c r="F20" s="28">
        <f>$D20*3</f>
        <v/>
      </c>
      <c r="G20" s="28">
        <f>$D20*4</f>
        <v/>
      </c>
      <c r="H20" s="28">
        <f>$D20*5</f>
        <v/>
      </c>
      <c r="I20" s="28">
        <f>$D20*3*Config!$C$18</f>
        <v/>
      </c>
      <c r="J20" s="28">
        <f>Config!$C$10^(A20-1)</f>
        <v/>
      </c>
      <c r="K20" s="29" t="inlineStr">
        <is>
          <t>Citrine</t>
        </is>
      </c>
    </row>
    <row r="21">
      <c r="A21" s="6" t="n">
        <v>17</v>
      </c>
      <c r="B21" s="20" t="inlineStr">
        <is>
          <t>Citrine</t>
        </is>
      </c>
      <c r="C21" s="21" t="inlineStr">
        <is>
          <t>Gems</t>
        </is>
      </c>
      <c r="D21" s="7" t="n">
        <v>315</v>
      </c>
      <c r="E21" s="30">
        <f>D21/D20-1</f>
        <v/>
      </c>
      <c r="F21" s="22">
        <f>$D21*3</f>
        <v/>
      </c>
      <c r="G21" s="22">
        <f>$D21*4</f>
        <v/>
      </c>
      <c r="H21" s="22">
        <f>$D21*5</f>
        <v/>
      </c>
      <c r="I21" s="22">
        <f>$D21*3*Config!$C$18</f>
        <v/>
      </c>
      <c r="J21" s="22">
        <f>Config!$C$10^(A21-1)</f>
        <v/>
      </c>
      <c r="K21" s="23" t="inlineStr">
        <is>
          <t>Turquoise</t>
        </is>
      </c>
    </row>
    <row r="22">
      <c r="A22" s="24" t="n">
        <v>18</v>
      </c>
      <c r="B22" s="25" t="inlineStr">
        <is>
          <t>Turquoise</t>
        </is>
      </c>
      <c r="C22" s="26" t="inlineStr">
        <is>
          <t>Gems</t>
        </is>
      </c>
      <c r="D22" s="15" t="n">
        <v>440</v>
      </c>
      <c r="E22" s="27">
        <f>D22/D21-1</f>
        <v/>
      </c>
      <c r="F22" s="28">
        <f>$D22*3</f>
        <v/>
      </c>
      <c r="G22" s="28">
        <f>$D22*4</f>
        <v/>
      </c>
      <c r="H22" s="28">
        <f>$D22*5</f>
        <v/>
      </c>
      <c r="I22" s="28">
        <f>$D22*3*Config!$C$18</f>
        <v/>
      </c>
      <c r="J22" s="28">
        <f>Config!$C$10^(A22-1)</f>
        <v/>
      </c>
      <c r="K22" s="29" t="inlineStr">
        <is>
          <t>Garnet</t>
        </is>
      </c>
    </row>
    <row r="23">
      <c r="A23" s="6" t="n">
        <v>19</v>
      </c>
      <c r="B23" s="20" t="inlineStr">
        <is>
          <t>Garnet</t>
        </is>
      </c>
      <c r="C23" s="21" t="inlineStr">
        <is>
          <t>Gems</t>
        </is>
      </c>
      <c r="D23" s="7" t="n">
        <v>615</v>
      </c>
      <c r="E23" s="30">
        <f>D23/D22-1</f>
        <v/>
      </c>
      <c r="F23" s="22">
        <f>$D23*3</f>
        <v/>
      </c>
      <c r="G23" s="22">
        <f>$D23*4</f>
        <v/>
      </c>
      <c r="H23" s="22">
        <f>$D23*5</f>
        <v/>
      </c>
      <c r="I23" s="22">
        <f>$D23*3*Config!$C$18</f>
        <v/>
      </c>
      <c r="J23" s="22">
        <f>Config!$C$10^(A23-1)</f>
        <v/>
      </c>
      <c r="K23" s="23" t="inlineStr">
        <is>
          <t>Topaz</t>
        </is>
      </c>
    </row>
    <row r="24">
      <c r="A24" s="24" t="n">
        <v>20</v>
      </c>
      <c r="B24" s="25" t="inlineStr">
        <is>
          <t>Topaz</t>
        </is>
      </c>
      <c r="C24" s="26" t="inlineStr">
        <is>
          <t>Gems</t>
        </is>
      </c>
      <c r="D24" s="15" t="n">
        <v>860</v>
      </c>
      <c r="E24" s="27">
        <f>D24/D23-1</f>
        <v/>
      </c>
      <c r="F24" s="28">
        <f>$D24*3</f>
        <v/>
      </c>
      <c r="G24" s="28">
        <f>$D24*4</f>
        <v/>
      </c>
      <c r="H24" s="28">
        <f>$D24*5</f>
        <v/>
      </c>
      <c r="I24" s="28">
        <f>$D24*3*Config!$C$18</f>
        <v/>
      </c>
      <c r="J24" s="28">
        <f>Config!$C$10^(A24-1)</f>
        <v/>
      </c>
      <c r="K24" s="29" t="inlineStr">
        <is>
          <t>Peridot</t>
        </is>
      </c>
    </row>
    <row r="25">
      <c r="A25" s="6" t="n">
        <v>21</v>
      </c>
      <c r="B25" s="20" t="inlineStr">
        <is>
          <t>Peridot</t>
        </is>
      </c>
      <c r="C25" s="21" t="inlineStr">
        <is>
          <t>Gems</t>
        </is>
      </c>
      <c r="D25" s="7" t="n">
        <v>1200</v>
      </c>
      <c r="E25" s="30">
        <f>D25/D24-1</f>
        <v/>
      </c>
      <c r="F25" s="22">
        <f>$D25*3</f>
        <v/>
      </c>
      <c r="G25" s="22">
        <f>$D25*4</f>
        <v/>
      </c>
      <c r="H25" s="22">
        <f>$D25*5</f>
        <v/>
      </c>
      <c r="I25" s="22">
        <f>$D25*3*Config!$C$18</f>
        <v/>
      </c>
      <c r="J25" s="22">
        <f>Config!$C$10^(A25-1)</f>
        <v/>
      </c>
      <c r="K25" s="23" t="inlineStr">
        <is>
          <t>Lapis Lazuli</t>
        </is>
      </c>
    </row>
    <row r="26">
      <c r="A26" s="24" t="n">
        <v>22</v>
      </c>
      <c r="B26" s="25" t="inlineStr">
        <is>
          <t>Lapis Lazuli</t>
        </is>
      </c>
      <c r="C26" s="26" t="inlineStr">
        <is>
          <t>Gems</t>
        </is>
      </c>
      <c r="D26" s="15" t="n">
        <v>1700</v>
      </c>
      <c r="E26" s="27">
        <f>D26/D25-1</f>
        <v/>
      </c>
      <c r="F26" s="28">
        <f>$D26*3</f>
        <v/>
      </c>
      <c r="G26" s="28">
        <f>$D26*4</f>
        <v/>
      </c>
      <c r="H26" s="28">
        <f>$D26*5</f>
        <v/>
      </c>
      <c r="I26" s="28">
        <f>$D26*3*Config!$C$18</f>
        <v/>
      </c>
      <c r="J26" s="28">
        <f>Config!$C$10^(A26-1)</f>
        <v/>
      </c>
      <c r="K26" s="29" t="inlineStr">
        <is>
          <t>Aquamarine</t>
        </is>
      </c>
    </row>
    <row r="27">
      <c r="A27" s="6" t="n">
        <v>23</v>
      </c>
      <c r="B27" s="20" t="inlineStr">
        <is>
          <t>Aquamarine</t>
        </is>
      </c>
      <c r="C27" s="21" t="inlineStr">
        <is>
          <t>Gems</t>
        </is>
      </c>
      <c r="D27" s="7" t="n">
        <v>2350</v>
      </c>
      <c r="E27" s="30">
        <f>D27/D26-1</f>
        <v/>
      </c>
      <c r="F27" s="22">
        <f>$D27*3</f>
        <v/>
      </c>
      <c r="G27" s="22">
        <f>$D27*4</f>
        <v/>
      </c>
      <c r="H27" s="22">
        <f>$D27*5</f>
        <v/>
      </c>
      <c r="I27" s="22">
        <f>$D27*3*Config!$C$18</f>
        <v/>
      </c>
      <c r="J27" s="22">
        <f>Config!$C$10^(A27-1)</f>
        <v/>
      </c>
      <c r="K27" s="23" t="inlineStr">
        <is>
          <t>Tourmaline</t>
        </is>
      </c>
    </row>
    <row r="28">
      <c r="A28" s="24" t="n">
        <v>24</v>
      </c>
      <c r="B28" s="25" t="inlineStr">
        <is>
          <t>Tourmaline</t>
        </is>
      </c>
      <c r="C28" s="26" t="inlineStr">
        <is>
          <t>Gems</t>
        </is>
      </c>
      <c r="D28" s="15" t="n">
        <v>3300</v>
      </c>
      <c r="E28" s="27">
        <f>D28/D27-1</f>
        <v/>
      </c>
      <c r="F28" s="28">
        <f>$D28*3</f>
        <v/>
      </c>
      <c r="G28" s="28">
        <f>$D28*4</f>
        <v/>
      </c>
      <c r="H28" s="28">
        <f>$D28*5</f>
        <v/>
      </c>
      <c r="I28" s="28">
        <f>$D28*3*Config!$C$18</f>
        <v/>
      </c>
      <c r="J28" s="28">
        <f>Config!$C$10^(A28-1)</f>
        <v/>
      </c>
      <c r="K28" s="29" t="inlineStr">
        <is>
          <t>Tanzanite</t>
        </is>
      </c>
    </row>
    <row r="29">
      <c r="A29" s="6" t="n">
        <v>25</v>
      </c>
      <c r="B29" s="20" t="inlineStr">
        <is>
          <t>Tanzanite</t>
        </is>
      </c>
      <c r="C29" s="21" t="inlineStr">
        <is>
          <t>Gems</t>
        </is>
      </c>
      <c r="D29" s="7" t="n">
        <v>4600</v>
      </c>
      <c r="E29" s="30">
        <f>D29/D28-1</f>
        <v/>
      </c>
      <c r="F29" s="22">
        <f>$D29*3</f>
        <v/>
      </c>
      <c r="G29" s="22">
        <f>$D29*4</f>
        <v/>
      </c>
      <c r="H29" s="22">
        <f>$D29*5</f>
        <v/>
      </c>
      <c r="I29" s="22">
        <f>$D29*3*Config!$C$18</f>
        <v/>
      </c>
      <c r="J29" s="22">
        <f>Config!$C$10^(A29-1)</f>
        <v/>
      </c>
      <c r="K29" s="23" t="inlineStr">
        <is>
          <t>Black Opal</t>
        </is>
      </c>
    </row>
    <row r="30">
      <c r="A30" s="24" t="n">
        <v>26</v>
      </c>
      <c r="B30" s="25" t="inlineStr">
        <is>
          <t>Black Opal</t>
        </is>
      </c>
      <c r="C30" s="26" t="inlineStr">
        <is>
          <t>Gems</t>
        </is>
      </c>
      <c r="D30" s="15" t="n">
        <v>6450</v>
      </c>
      <c r="E30" s="27">
        <f>D30/D29-1</f>
        <v/>
      </c>
      <c r="F30" s="28">
        <f>$D30*3</f>
        <v/>
      </c>
      <c r="G30" s="28">
        <f>$D30*4</f>
        <v/>
      </c>
      <c r="H30" s="28">
        <f>$D30*5</f>
        <v/>
      </c>
      <c r="I30" s="28">
        <f>$D30*3*Config!$C$18</f>
        <v/>
      </c>
      <c r="J30" s="28">
        <f>Config!$C$10^(A30-1)</f>
        <v/>
      </c>
      <c r="K30" s="29" t="inlineStr">
        <is>
          <t>Emerald</t>
        </is>
      </c>
    </row>
    <row r="31">
      <c r="A31" s="6" t="n">
        <v>27</v>
      </c>
      <c r="B31" s="20" t="inlineStr">
        <is>
          <t>Emerald</t>
        </is>
      </c>
      <c r="C31" s="21" t="inlineStr">
        <is>
          <t>Gems</t>
        </is>
      </c>
      <c r="D31" s="7" t="n">
        <v>9000</v>
      </c>
      <c r="E31" s="30">
        <f>D31/D30-1</f>
        <v/>
      </c>
      <c r="F31" s="22">
        <f>$D31*3</f>
        <v/>
      </c>
      <c r="G31" s="22">
        <f>$D31*4</f>
        <v/>
      </c>
      <c r="H31" s="22">
        <f>$D31*5</f>
        <v/>
      </c>
      <c r="I31" s="22">
        <f>$D31*3*Config!$C$18</f>
        <v/>
      </c>
      <c r="J31" s="22">
        <f>Config!$C$10^(A31-1)</f>
        <v/>
      </c>
      <c r="K31" s="23" t="inlineStr">
        <is>
          <t>Sapphire</t>
        </is>
      </c>
    </row>
    <row r="32">
      <c r="A32" s="24" t="n">
        <v>28</v>
      </c>
      <c r="B32" s="25" t="inlineStr">
        <is>
          <t>Sapphire</t>
        </is>
      </c>
      <c r="C32" s="26" t="inlineStr">
        <is>
          <t>Gems</t>
        </is>
      </c>
      <c r="D32" s="15" t="n">
        <v>12600</v>
      </c>
      <c r="E32" s="27">
        <f>D32/D31-1</f>
        <v/>
      </c>
      <c r="F32" s="28">
        <f>$D32*3</f>
        <v/>
      </c>
      <c r="G32" s="28">
        <f>$D32*4</f>
        <v/>
      </c>
      <c r="H32" s="28">
        <f>$D32*5</f>
        <v/>
      </c>
      <c r="I32" s="28">
        <f>$D32*3*Config!$C$18</f>
        <v/>
      </c>
      <c r="J32" s="28">
        <f>Config!$C$10^(A32-1)</f>
        <v/>
      </c>
      <c r="K32" s="29" t="inlineStr">
        <is>
          <t>Ruby</t>
        </is>
      </c>
    </row>
    <row r="33">
      <c r="A33" s="6" t="n">
        <v>29</v>
      </c>
      <c r="B33" s="20" t="inlineStr">
        <is>
          <t>Ruby</t>
        </is>
      </c>
      <c r="C33" s="21" t="inlineStr">
        <is>
          <t>Gems</t>
        </is>
      </c>
      <c r="D33" s="7" t="n">
        <v>17600</v>
      </c>
      <c r="E33" s="30">
        <f>D33/D32-1</f>
        <v/>
      </c>
      <c r="F33" s="22">
        <f>$D33*3</f>
        <v/>
      </c>
      <c r="G33" s="22">
        <f>$D33*4</f>
        <v/>
      </c>
      <c r="H33" s="22">
        <f>$D33*5</f>
        <v/>
      </c>
      <c r="I33" s="22">
        <f>$D33*3*Config!$C$18</f>
        <v/>
      </c>
      <c r="J33" s="22">
        <f>Config!$C$10^(A33-1)</f>
        <v/>
      </c>
      <c r="K33" s="23" t="inlineStr">
        <is>
          <t>Jadeite</t>
        </is>
      </c>
    </row>
    <row r="34">
      <c r="A34" s="24" t="n">
        <v>30</v>
      </c>
      <c r="B34" s="25" t="inlineStr">
        <is>
          <t>Jadeite</t>
        </is>
      </c>
      <c r="C34" s="26" t="inlineStr">
        <is>
          <t>Gems</t>
        </is>
      </c>
      <c r="D34" s="15" t="n">
        <v>24700</v>
      </c>
      <c r="E34" s="27">
        <f>D34/D33-1</f>
        <v/>
      </c>
      <c r="F34" s="28">
        <f>$D34*3</f>
        <v/>
      </c>
      <c r="G34" s="28">
        <f>$D34*4</f>
        <v/>
      </c>
      <c r="H34" s="28">
        <f>$D34*5</f>
        <v/>
      </c>
      <c r="I34" s="28">
        <f>$D34*3*Config!$C$18</f>
        <v/>
      </c>
      <c r="J34" s="28">
        <f>Config!$C$10^(A34-1)</f>
        <v/>
      </c>
      <c r="K34" s="29" t="inlineStr">
        <is>
          <t>Alexandrite</t>
        </is>
      </c>
    </row>
    <row r="35">
      <c r="A35" s="6" t="n">
        <v>31</v>
      </c>
      <c r="B35" s="20" t="inlineStr">
        <is>
          <t>Alexandrite</t>
        </is>
      </c>
      <c r="C35" s="21" t="inlineStr">
        <is>
          <t>Gems</t>
        </is>
      </c>
      <c r="D35" s="7" t="n">
        <v>34500</v>
      </c>
      <c r="E35" s="30">
        <f>D35/D34-1</f>
        <v/>
      </c>
      <c r="F35" s="22">
        <f>$D35*3</f>
        <v/>
      </c>
      <c r="G35" s="22">
        <f>$D35*4</f>
        <v/>
      </c>
      <c r="H35" s="22">
        <f>$D35*5</f>
        <v/>
      </c>
      <c r="I35" s="22">
        <f>$D35*3*Config!$C$18</f>
        <v/>
      </c>
      <c r="J35" s="22">
        <f>Config!$C$10^(A35-1)</f>
        <v/>
      </c>
      <c r="K35" s="23" t="inlineStr">
        <is>
          <t>Paraiba</t>
        </is>
      </c>
    </row>
    <row r="36">
      <c r="A36" s="24" t="n">
        <v>32</v>
      </c>
      <c r="B36" s="25" t="inlineStr">
        <is>
          <t>Paraiba</t>
        </is>
      </c>
      <c r="C36" s="26" t="inlineStr">
        <is>
          <t>Gems</t>
        </is>
      </c>
      <c r="D36" s="15" t="n">
        <v>48300</v>
      </c>
      <c r="E36" s="27">
        <f>D36/D35-1</f>
        <v/>
      </c>
      <c r="F36" s="28">
        <f>$D36*3</f>
        <v/>
      </c>
      <c r="G36" s="28">
        <f>$D36*4</f>
        <v/>
      </c>
      <c r="H36" s="28">
        <f>$D36*5</f>
        <v/>
      </c>
      <c r="I36" s="28">
        <f>$D36*3*Config!$C$18</f>
        <v/>
      </c>
      <c r="J36" s="28">
        <f>Config!$C$10^(A36-1)</f>
        <v/>
      </c>
      <c r="K36" s="29" t="inlineStr">
        <is>
          <t>Red Beryl</t>
        </is>
      </c>
    </row>
    <row r="37">
      <c r="A37" s="6" t="n">
        <v>33</v>
      </c>
      <c r="B37" s="20" t="inlineStr">
        <is>
          <t>Red Beryl</t>
        </is>
      </c>
      <c r="C37" s="21" t="inlineStr">
        <is>
          <t>Gems</t>
        </is>
      </c>
      <c r="D37" s="7" t="n">
        <v>67600</v>
      </c>
      <c r="E37" s="30">
        <f>D37/D36-1</f>
        <v/>
      </c>
      <c r="F37" s="22">
        <f>$D37*3</f>
        <v/>
      </c>
      <c r="G37" s="22">
        <f>$D37*4</f>
        <v/>
      </c>
      <c r="H37" s="22">
        <f>$D37*5</f>
        <v/>
      </c>
      <c r="I37" s="22">
        <f>$D37*3*Config!$C$18</f>
        <v/>
      </c>
      <c r="J37" s="22">
        <f>Config!$C$10^(A37-1)</f>
        <v/>
      </c>
      <c r="K37" s="23" t="inlineStr">
        <is>
          <t>Diamond</t>
        </is>
      </c>
    </row>
    <row r="38">
      <c r="A38" s="24" t="n">
        <v>34</v>
      </c>
      <c r="B38" s="25" t="inlineStr">
        <is>
          <t>Diamond</t>
        </is>
      </c>
      <c r="C38" s="26" t="inlineStr">
        <is>
          <t>Gems</t>
        </is>
      </c>
      <c r="D38" s="15" t="n">
        <v>94600</v>
      </c>
      <c r="E38" s="27">
        <f>D38/D37-1</f>
        <v/>
      </c>
      <c r="F38" s="28">
        <f>$D38*3</f>
        <v/>
      </c>
      <c r="G38" s="28">
        <f>$D38*4</f>
        <v/>
      </c>
      <c r="H38" s="28">
        <f>$D38*5</f>
        <v/>
      </c>
      <c r="I38" s="28">
        <f>$D38*3*Config!$C$18</f>
        <v/>
      </c>
      <c r="J38" s="28">
        <f>Config!$C$10^(A38-1)</f>
        <v/>
      </c>
      <c r="K38" s="29" t="inlineStr">
        <is>
          <t>Crown</t>
        </is>
      </c>
    </row>
    <row r="39">
      <c r="A39" s="6" t="n">
        <v>35</v>
      </c>
      <c r="B39" s="20" t="inlineStr">
        <is>
          <t>Crown</t>
        </is>
      </c>
      <c r="C39" s="21" t="inlineStr">
        <is>
          <t>Gems</t>
        </is>
      </c>
      <c r="D39" s="7" t="n">
        <v>132000</v>
      </c>
      <c r="E39" s="30">
        <f>D39/D38-1</f>
        <v/>
      </c>
      <c r="F39" s="22">
        <f>$D39*3</f>
        <v/>
      </c>
      <c r="G39" s="22">
        <f>$D39*4</f>
        <v/>
      </c>
      <c r="H39" s="22">
        <f>$D39*5</f>
        <v/>
      </c>
      <c r="I39" s="22">
        <f>$D39*3*Config!$C$18</f>
        <v/>
      </c>
      <c r="J39" s="22">
        <f>Config!$C$10^(A39-1)</f>
        <v/>
      </c>
      <c r="K39" s="23" t="inlineStr">
        <is>
          <t>— top of the ladder</t>
        </is>
      </c>
    </row>
    <row r="41">
      <c r="A41" s="2" t="inlineStr">
        <is>
          <t>'Merge of 3/4/5' is the unit count in one merge — the minimum is mergeAt. 'Dirt inside one' is how many tier-1 pieces a single piece of that rung is built from.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1" customWidth="1" min="3" max="3"/>
    <col width="13" customWidth="1" min="4" max="4"/>
    <col width="12" customWidth="1" min="5" max="5"/>
    <col width="13" customWidth="1" min="6" max="6"/>
    <col width="15" customWidth="1" min="7" max="7"/>
    <col width="15" customWidth="1" min="8" max="8"/>
  </cols>
  <sheetData>
    <row r="1">
      <c r="A1" s="1" t="inlineStr">
        <is>
          <t>The seam — pieces that fall in on their own</t>
        </is>
      </c>
    </row>
    <row r="2">
      <c r="A2" s="2" t="inlineStr">
        <is>
          <t>Blue is the schedule in config. The rate columns are formulas, so editing count or every reflows them.</t>
        </is>
      </c>
    </row>
    <row r="4" ht="30" customHeight="1">
      <c r="A4" s="9" t="inlineStr">
        <is>
          <t>Step</t>
        </is>
      </c>
      <c r="B4" s="9" t="inlineStr">
        <is>
          <t>From drop</t>
        </is>
      </c>
      <c r="C4" s="9" t="inlineStr">
        <is>
          <t>To drop</t>
        </is>
      </c>
      <c r="D4" s="9" t="inlineStr">
        <is>
          <t>Pieces per burst</t>
        </is>
      </c>
      <c r="E4" s="9" t="inlineStr">
        <is>
          <t>Every N drops</t>
        </is>
      </c>
      <c r="F4" s="9" t="inlineStr">
        <is>
          <t>Pieces per drop</t>
        </is>
      </c>
      <c r="G4" s="9" t="inlineStr">
        <is>
          <t>Total per drop incl. yours</t>
        </is>
      </c>
      <c r="H4" s="9" t="inlineStr">
        <is>
          <t>Change vs previous step</t>
        </is>
      </c>
    </row>
    <row r="5">
      <c r="A5" s="6" t="n">
        <v>1</v>
      </c>
      <c r="B5" s="7" t="n">
        <v>0</v>
      </c>
      <c r="C5" s="7" t="n">
        <v>109</v>
      </c>
      <c r="D5" s="7" t="n">
        <v>2</v>
      </c>
      <c r="E5" s="7" t="n">
        <v>5</v>
      </c>
      <c r="F5" s="31">
        <f>D5/E5</f>
        <v/>
      </c>
      <c r="G5" s="31">
        <f>1+F5</f>
        <v/>
      </c>
      <c r="H5" s="21" t="inlineStr">
        <is>
          <t>—</t>
        </is>
      </c>
    </row>
    <row r="6">
      <c r="A6" s="24" t="n">
        <v>2</v>
      </c>
      <c r="B6" s="15" t="n">
        <v>110</v>
      </c>
      <c r="C6" s="15" t="n">
        <v>149</v>
      </c>
      <c r="D6" s="15" t="n">
        <v>3</v>
      </c>
      <c r="E6" s="15" t="n">
        <v>5</v>
      </c>
      <c r="F6" s="32">
        <f>D6/E6</f>
        <v/>
      </c>
      <c r="G6" s="32">
        <f>1+F6</f>
        <v/>
      </c>
      <c r="H6" s="33">
        <f>F6/F5-1</f>
        <v/>
      </c>
    </row>
    <row r="7">
      <c r="A7" s="6" t="n">
        <v>3</v>
      </c>
      <c r="B7" s="7" t="n">
        <v>150</v>
      </c>
      <c r="C7" s="7" t="n">
        <v>199</v>
      </c>
      <c r="D7" s="7" t="n">
        <v>3</v>
      </c>
      <c r="E7" s="7" t="n">
        <v>4</v>
      </c>
      <c r="F7" s="31">
        <f>D7/E7</f>
        <v/>
      </c>
      <c r="G7" s="31">
        <f>1+F7</f>
        <v/>
      </c>
      <c r="H7" s="34">
        <f>F7/F6-1</f>
        <v/>
      </c>
    </row>
    <row r="8">
      <c r="A8" s="24" t="n">
        <v>4</v>
      </c>
      <c r="B8" s="15" t="n">
        <v>200</v>
      </c>
      <c r="C8" s="15" t="n">
        <v>249</v>
      </c>
      <c r="D8" s="15" t="n">
        <v>2</v>
      </c>
      <c r="E8" s="15" t="n">
        <v>2</v>
      </c>
      <c r="F8" s="32">
        <f>D8/E8</f>
        <v/>
      </c>
      <c r="G8" s="32">
        <f>1+F8</f>
        <v/>
      </c>
      <c r="H8" s="33">
        <f>F8/F7-1</f>
        <v/>
      </c>
    </row>
    <row r="9">
      <c r="A9" s="6" t="n">
        <v>5</v>
      </c>
      <c r="B9" s="7" t="n">
        <v>250</v>
      </c>
      <c r="C9" s="7" t="n">
        <v>309</v>
      </c>
      <c r="D9" s="7" t="n">
        <v>4</v>
      </c>
      <c r="E9" s="7" t="n">
        <v>3</v>
      </c>
      <c r="F9" s="31">
        <f>D9/E9</f>
        <v/>
      </c>
      <c r="G9" s="31">
        <f>1+F9</f>
        <v/>
      </c>
      <c r="H9" s="34">
        <f>F9/F8-1</f>
        <v/>
      </c>
    </row>
    <row r="10">
      <c r="A10" s="24" t="n">
        <v>6</v>
      </c>
      <c r="B10" s="15" t="n">
        <v>310</v>
      </c>
      <c r="C10" s="15" t="n">
        <v>369</v>
      </c>
      <c r="D10" s="15" t="n">
        <v>3</v>
      </c>
      <c r="E10" s="15" t="n">
        <v>2</v>
      </c>
      <c r="F10" s="32">
        <f>D10/E10</f>
        <v/>
      </c>
      <c r="G10" s="32">
        <f>1+F10</f>
        <v/>
      </c>
      <c r="H10" s="33">
        <f>F10/F9-1</f>
        <v/>
      </c>
    </row>
    <row r="11">
      <c r="A11" s="6" t="n">
        <v>7</v>
      </c>
      <c r="B11" s="7" t="n">
        <v>370</v>
      </c>
      <c r="C11" s="7" t="n">
        <v>429</v>
      </c>
      <c r="D11" s="7" t="n">
        <v>2</v>
      </c>
      <c r="E11" s="7" t="n">
        <v>1</v>
      </c>
      <c r="F11" s="31">
        <f>D11/E11</f>
        <v/>
      </c>
      <c r="G11" s="31">
        <f>1+F11</f>
        <v/>
      </c>
      <c r="H11" s="34">
        <f>F11/F10-1</f>
        <v/>
      </c>
    </row>
    <row r="12">
      <c r="A12" s="24" t="n">
        <v>8</v>
      </c>
      <c r="B12" s="15" t="n">
        <v>430</v>
      </c>
      <c r="C12" s="26" t="inlineStr">
        <is>
          <t>onward</t>
        </is>
      </c>
      <c r="D12" s="15" t="n">
        <v>3</v>
      </c>
      <c r="E12" s="15" t="n">
        <v>1</v>
      </c>
      <c r="F12" s="32">
        <f>D12/E12</f>
        <v/>
      </c>
      <c r="G12" s="32">
        <f>1+F12</f>
        <v/>
      </c>
      <c r="H12" s="33">
        <f>F12/F11-1</f>
        <v/>
      </c>
    </row>
    <row r="14">
      <c r="A14" s="2" t="inlineStr">
        <is>
          <t>A burst is trimmed to a quarter of the free squares (fallRoom) and lands in the columns with the most room (fallEven), so these are the scheduled figures, not always the delivered ones.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5" customWidth="1" min="3" max="3"/>
    <col width="8" customWidth="1" min="4" max="4"/>
    <col width="15" customWidth="1" min="5" max="5"/>
    <col width="8" customWidth="1" min="6" max="6"/>
    <col width="15" customWidth="1" min="7" max="7"/>
    <col width="8" customWidth="1" min="8" max="8"/>
    <col width="14" customWidth="1" min="9" max="9"/>
  </cols>
  <sheetData>
    <row r="1">
      <c r="A1" s="1" t="inlineStr">
        <is>
          <t>What the hand deals, at every height you reach</t>
        </is>
      </c>
    </row>
    <row r="2">
      <c r="A2" s="2" t="inlineStr">
        <is>
          <t>Only three rungs are ever dealt. Everything below the window is stranded — no deal will ever complete it.</t>
        </is>
      </c>
    </row>
    <row r="4" ht="30" customHeight="1">
      <c r="A4" s="9" t="inlineStr">
        <is>
          <t>Highest reached</t>
        </is>
      </c>
      <c r="B4" s="9" t="inlineStr">
        <is>
          <t>Piece</t>
        </is>
      </c>
      <c r="C4" s="9" t="inlineStr">
        <is>
          <t>Deals 1st</t>
        </is>
      </c>
      <c r="D4" s="9" t="inlineStr">
        <is>
          <t>odds</t>
        </is>
      </c>
      <c r="E4" s="9" t="inlineStr">
        <is>
          <t>Deals 2nd</t>
        </is>
      </c>
      <c r="F4" s="9" t="inlineStr">
        <is>
          <t>odds</t>
        </is>
      </c>
      <c r="G4" s="9" t="inlineStr">
        <is>
          <t>Deals 3rd</t>
        </is>
      </c>
      <c r="H4" s="9" t="inlineStr">
        <is>
          <t>odds</t>
        </is>
      </c>
      <c r="I4" s="9" t="inlineStr">
        <is>
          <t>Rungs stranded below</t>
        </is>
      </c>
    </row>
    <row r="5">
      <c r="A5" s="6" t="n">
        <v>1</v>
      </c>
      <c r="B5" s="20" t="inlineStr">
        <is>
          <t>Dirt</t>
        </is>
      </c>
      <c r="C5" s="6" t="inlineStr">
        <is>
          <t>Dirt</t>
        </is>
      </c>
      <c r="D5" s="8" t="n">
        <v>0.46</v>
      </c>
      <c r="E5" s="6" t="inlineStr">
        <is>
          <t>Stone</t>
        </is>
      </c>
      <c r="F5" s="8" t="n">
        <v>0.34</v>
      </c>
      <c r="G5" s="6" t="inlineStr">
        <is>
          <t>Coal</t>
        </is>
      </c>
      <c r="H5" s="8" t="n">
        <v>0.2</v>
      </c>
      <c r="I5" s="22" t="n">
        <v>0</v>
      </c>
    </row>
    <row r="6">
      <c r="A6" s="24" t="n">
        <v>2</v>
      </c>
      <c r="B6" s="25" t="inlineStr">
        <is>
          <t>Stone</t>
        </is>
      </c>
      <c r="C6" s="24" t="inlineStr">
        <is>
          <t>Dirt</t>
        </is>
      </c>
      <c r="D6" s="35" t="n">
        <v>0.46</v>
      </c>
      <c r="E6" s="24" t="inlineStr">
        <is>
          <t>Stone</t>
        </is>
      </c>
      <c r="F6" s="35" t="n">
        <v>0.34</v>
      </c>
      <c r="G6" s="24" t="inlineStr">
        <is>
          <t>Coal</t>
        </is>
      </c>
      <c r="H6" s="35" t="n">
        <v>0.2</v>
      </c>
      <c r="I6" s="28" t="n">
        <v>0</v>
      </c>
    </row>
    <row r="7">
      <c r="A7" s="6" t="n">
        <v>3</v>
      </c>
      <c r="B7" s="20" t="inlineStr">
        <is>
          <t>Coal</t>
        </is>
      </c>
      <c r="C7" s="6" t="inlineStr">
        <is>
          <t>Dirt</t>
        </is>
      </c>
      <c r="D7" s="8" t="n">
        <v>0.46</v>
      </c>
      <c r="E7" s="6" t="inlineStr">
        <is>
          <t>Stone</t>
        </is>
      </c>
      <c r="F7" s="8" t="n">
        <v>0.34</v>
      </c>
      <c r="G7" s="6" t="inlineStr">
        <is>
          <t>Coal</t>
        </is>
      </c>
      <c r="H7" s="8" t="n">
        <v>0.2</v>
      </c>
      <c r="I7" s="22" t="n">
        <v>0</v>
      </c>
    </row>
    <row r="8">
      <c r="A8" s="24" t="n">
        <v>4</v>
      </c>
      <c r="B8" s="25" t="inlineStr">
        <is>
          <t>Iron</t>
        </is>
      </c>
      <c r="C8" s="24" t="inlineStr">
        <is>
          <t>Dirt</t>
        </is>
      </c>
      <c r="D8" s="35" t="n">
        <v>0.46</v>
      </c>
      <c r="E8" s="24" t="inlineStr">
        <is>
          <t>Stone</t>
        </is>
      </c>
      <c r="F8" s="35" t="n">
        <v>0.34</v>
      </c>
      <c r="G8" s="24" t="inlineStr">
        <is>
          <t>Coal</t>
        </is>
      </c>
      <c r="H8" s="35" t="n">
        <v>0.2</v>
      </c>
      <c r="I8" s="28" t="n">
        <v>0</v>
      </c>
    </row>
    <row r="9">
      <c r="A9" s="6" t="n">
        <v>5</v>
      </c>
      <c r="B9" s="20" t="inlineStr">
        <is>
          <t>Zinc</t>
        </is>
      </c>
      <c r="C9" s="6" t="inlineStr">
        <is>
          <t>Dirt</t>
        </is>
      </c>
      <c r="D9" s="8" t="n">
        <v>0.46</v>
      </c>
      <c r="E9" s="6" t="inlineStr">
        <is>
          <t>Stone</t>
        </is>
      </c>
      <c r="F9" s="8" t="n">
        <v>0.34</v>
      </c>
      <c r="G9" s="6" t="inlineStr">
        <is>
          <t>Coal</t>
        </is>
      </c>
      <c r="H9" s="8" t="n">
        <v>0.2</v>
      </c>
      <c r="I9" s="22" t="n">
        <v>0</v>
      </c>
    </row>
    <row r="10">
      <c r="A10" s="24" t="n">
        <v>6</v>
      </c>
      <c r="B10" s="25" t="inlineStr">
        <is>
          <t>Copper</t>
        </is>
      </c>
      <c r="C10" s="24" t="inlineStr">
        <is>
          <t>Stone</t>
        </is>
      </c>
      <c r="D10" s="35" t="n">
        <v>0.46</v>
      </c>
      <c r="E10" s="24" t="inlineStr">
        <is>
          <t>Coal</t>
        </is>
      </c>
      <c r="F10" s="35" t="n">
        <v>0.34</v>
      </c>
      <c r="G10" s="24" t="inlineStr">
        <is>
          <t>Iron</t>
        </is>
      </c>
      <c r="H10" s="35" t="n">
        <v>0.2</v>
      </c>
      <c r="I10" s="28" t="n">
        <v>1</v>
      </c>
    </row>
    <row r="11">
      <c r="A11" s="6" t="n">
        <v>7</v>
      </c>
      <c r="B11" s="20" t="inlineStr">
        <is>
          <t>Bronze</t>
        </is>
      </c>
      <c r="C11" s="6" t="inlineStr">
        <is>
          <t>Coal</t>
        </is>
      </c>
      <c r="D11" s="8" t="n">
        <v>0.46</v>
      </c>
      <c r="E11" s="6" t="inlineStr">
        <is>
          <t>Iron</t>
        </is>
      </c>
      <c r="F11" s="8" t="n">
        <v>0.34</v>
      </c>
      <c r="G11" s="6" t="inlineStr">
        <is>
          <t>Zinc</t>
        </is>
      </c>
      <c r="H11" s="8" t="n">
        <v>0.2</v>
      </c>
      <c r="I11" s="22" t="n">
        <v>2</v>
      </c>
    </row>
    <row r="12">
      <c r="A12" s="24" t="n">
        <v>8</v>
      </c>
      <c r="B12" s="25" t="inlineStr">
        <is>
          <t>Tin</t>
        </is>
      </c>
      <c r="C12" s="24" t="inlineStr">
        <is>
          <t>Iron</t>
        </is>
      </c>
      <c r="D12" s="35" t="n">
        <v>0.46</v>
      </c>
      <c r="E12" s="24" t="inlineStr">
        <is>
          <t>Zinc</t>
        </is>
      </c>
      <c r="F12" s="35" t="n">
        <v>0.34</v>
      </c>
      <c r="G12" s="24" t="inlineStr">
        <is>
          <t>Copper</t>
        </is>
      </c>
      <c r="H12" s="35" t="n">
        <v>0.2</v>
      </c>
      <c r="I12" s="28" t="n">
        <v>3</v>
      </c>
    </row>
    <row r="13">
      <c r="A13" s="6" t="n">
        <v>9</v>
      </c>
      <c r="B13" s="20" t="inlineStr">
        <is>
          <t>Titanium</t>
        </is>
      </c>
      <c r="C13" s="6" t="inlineStr">
        <is>
          <t>Zinc</t>
        </is>
      </c>
      <c r="D13" s="8" t="n">
        <v>0.46</v>
      </c>
      <c r="E13" s="6" t="inlineStr">
        <is>
          <t>Copper</t>
        </is>
      </c>
      <c r="F13" s="8" t="n">
        <v>0.34</v>
      </c>
      <c r="G13" s="6" t="inlineStr">
        <is>
          <t>Bronze</t>
        </is>
      </c>
      <c r="H13" s="8" t="n">
        <v>0.2</v>
      </c>
      <c r="I13" s="22" t="n">
        <v>4</v>
      </c>
    </row>
    <row r="14">
      <c r="A14" s="24" t="n">
        <v>10</v>
      </c>
      <c r="B14" s="25" t="inlineStr">
        <is>
          <t>Silver</t>
        </is>
      </c>
      <c r="C14" s="24" t="inlineStr">
        <is>
          <t>Copper</t>
        </is>
      </c>
      <c r="D14" s="35" t="n">
        <v>0.46</v>
      </c>
      <c r="E14" s="24" t="inlineStr">
        <is>
          <t>Bronze</t>
        </is>
      </c>
      <c r="F14" s="35" t="n">
        <v>0.34</v>
      </c>
      <c r="G14" s="24" t="inlineStr">
        <is>
          <t>Tin</t>
        </is>
      </c>
      <c r="H14" s="35" t="n">
        <v>0.2</v>
      </c>
      <c r="I14" s="28" t="n">
        <v>5</v>
      </c>
    </row>
    <row r="15">
      <c r="A15" s="6" t="n">
        <v>11</v>
      </c>
      <c r="B15" s="20" t="inlineStr">
        <is>
          <t>Gold</t>
        </is>
      </c>
      <c r="C15" s="6" t="inlineStr">
        <is>
          <t>Bronze</t>
        </is>
      </c>
      <c r="D15" s="8" t="n">
        <v>0.46</v>
      </c>
      <c r="E15" s="6" t="inlineStr">
        <is>
          <t>Tin</t>
        </is>
      </c>
      <c r="F15" s="8" t="n">
        <v>0.34</v>
      </c>
      <c r="G15" s="6" t="inlineStr">
        <is>
          <t>Titanium</t>
        </is>
      </c>
      <c r="H15" s="8" t="n">
        <v>0.2</v>
      </c>
      <c r="I15" s="22" t="n">
        <v>6</v>
      </c>
    </row>
    <row r="16">
      <c r="A16" s="24" t="n">
        <v>12</v>
      </c>
      <c r="B16" s="25" t="inlineStr">
        <is>
          <t>Platinum</t>
        </is>
      </c>
      <c r="C16" s="24" t="inlineStr">
        <is>
          <t>Tin</t>
        </is>
      </c>
      <c r="D16" s="35" t="n">
        <v>0.46</v>
      </c>
      <c r="E16" s="24" t="inlineStr">
        <is>
          <t>Titanium</t>
        </is>
      </c>
      <c r="F16" s="35" t="n">
        <v>0.34</v>
      </c>
      <c r="G16" s="24" t="inlineStr">
        <is>
          <t>Silver</t>
        </is>
      </c>
      <c r="H16" s="35" t="n">
        <v>0.2</v>
      </c>
      <c r="I16" s="28" t="n">
        <v>7</v>
      </c>
    </row>
    <row r="17">
      <c r="A17" s="6" t="n">
        <v>13</v>
      </c>
      <c r="B17" s="20" t="inlineStr">
        <is>
          <t>Iridium</t>
        </is>
      </c>
      <c r="C17" s="6" t="inlineStr">
        <is>
          <t>Titanium</t>
        </is>
      </c>
      <c r="D17" s="8" t="n">
        <v>0.46</v>
      </c>
      <c r="E17" s="6" t="inlineStr">
        <is>
          <t>Silver</t>
        </is>
      </c>
      <c r="F17" s="8" t="n">
        <v>0.34</v>
      </c>
      <c r="G17" s="6" t="inlineStr">
        <is>
          <t>Gold</t>
        </is>
      </c>
      <c r="H17" s="8" t="n">
        <v>0.2</v>
      </c>
      <c r="I17" s="22" t="n">
        <v>8</v>
      </c>
    </row>
    <row r="18">
      <c r="A18" s="24" t="n">
        <v>14</v>
      </c>
      <c r="B18" s="25" t="inlineStr">
        <is>
          <t>Rhodium</t>
        </is>
      </c>
      <c r="C18" s="24" t="inlineStr">
        <is>
          <t>Silver</t>
        </is>
      </c>
      <c r="D18" s="35" t="n">
        <v>0.46</v>
      </c>
      <c r="E18" s="24" t="inlineStr">
        <is>
          <t>Gold</t>
        </is>
      </c>
      <c r="F18" s="35" t="n">
        <v>0.34</v>
      </c>
      <c r="G18" s="24" t="inlineStr">
        <is>
          <t>Platinum</t>
        </is>
      </c>
      <c r="H18" s="35" t="n">
        <v>0.2</v>
      </c>
      <c r="I18" s="28" t="n">
        <v>9</v>
      </c>
    </row>
    <row r="19">
      <c r="A19" s="6" t="n">
        <v>15</v>
      </c>
      <c r="B19" s="20" t="inlineStr">
        <is>
          <t>Rose Quartz</t>
        </is>
      </c>
      <c r="C19" s="6" t="inlineStr">
        <is>
          <t>Gold</t>
        </is>
      </c>
      <c r="D19" s="8" t="n">
        <v>0.46</v>
      </c>
      <c r="E19" s="6" t="inlineStr">
        <is>
          <t>Platinum</t>
        </is>
      </c>
      <c r="F19" s="8" t="n">
        <v>0.34</v>
      </c>
      <c r="G19" s="6" t="inlineStr">
        <is>
          <t>Iridium</t>
        </is>
      </c>
      <c r="H19" s="8" t="n">
        <v>0.2</v>
      </c>
      <c r="I19" s="22" t="n">
        <v>10</v>
      </c>
    </row>
    <row r="20">
      <c r="A20" s="24" t="n">
        <v>16</v>
      </c>
      <c r="B20" s="25" t="inlineStr">
        <is>
          <t>Amethyst</t>
        </is>
      </c>
      <c r="C20" s="24" t="inlineStr">
        <is>
          <t>Platinum</t>
        </is>
      </c>
      <c r="D20" s="35" t="n">
        <v>0.46</v>
      </c>
      <c r="E20" s="24" t="inlineStr">
        <is>
          <t>Iridium</t>
        </is>
      </c>
      <c r="F20" s="35" t="n">
        <v>0.34</v>
      </c>
      <c r="G20" s="24" t="inlineStr">
        <is>
          <t>Rhodium</t>
        </is>
      </c>
      <c r="H20" s="35" t="n">
        <v>0.2</v>
      </c>
      <c r="I20" s="28" t="n">
        <v>11</v>
      </c>
    </row>
    <row r="21">
      <c r="A21" s="6" t="n">
        <v>17</v>
      </c>
      <c r="B21" s="20" t="inlineStr">
        <is>
          <t>Citrine</t>
        </is>
      </c>
      <c r="C21" s="6" t="inlineStr">
        <is>
          <t>Iridium</t>
        </is>
      </c>
      <c r="D21" s="8" t="n">
        <v>0.46</v>
      </c>
      <c r="E21" s="6" t="inlineStr">
        <is>
          <t>Rhodium</t>
        </is>
      </c>
      <c r="F21" s="8" t="n">
        <v>0.34</v>
      </c>
      <c r="G21" s="6" t="inlineStr">
        <is>
          <t>Rose Quartz</t>
        </is>
      </c>
      <c r="H21" s="8" t="n">
        <v>0.2</v>
      </c>
      <c r="I21" s="22" t="n">
        <v>12</v>
      </c>
    </row>
    <row r="22">
      <c r="A22" s="24" t="n">
        <v>18</v>
      </c>
      <c r="B22" s="25" t="inlineStr">
        <is>
          <t>Turquoise</t>
        </is>
      </c>
      <c r="C22" s="24" t="inlineStr">
        <is>
          <t>Rhodium</t>
        </is>
      </c>
      <c r="D22" s="35" t="n">
        <v>0.46</v>
      </c>
      <c r="E22" s="24" t="inlineStr">
        <is>
          <t>Rose Quartz</t>
        </is>
      </c>
      <c r="F22" s="35" t="n">
        <v>0.34</v>
      </c>
      <c r="G22" s="24" t="inlineStr">
        <is>
          <t>Amethyst</t>
        </is>
      </c>
      <c r="H22" s="35" t="n">
        <v>0.2</v>
      </c>
      <c r="I22" s="28" t="n">
        <v>13</v>
      </c>
    </row>
    <row r="23">
      <c r="A23" s="6" t="n">
        <v>19</v>
      </c>
      <c r="B23" s="20" t="inlineStr">
        <is>
          <t>Garnet</t>
        </is>
      </c>
      <c r="C23" s="6" t="inlineStr">
        <is>
          <t>Rose Quartz</t>
        </is>
      </c>
      <c r="D23" s="8" t="n">
        <v>0.46</v>
      </c>
      <c r="E23" s="6" t="inlineStr">
        <is>
          <t>Amethyst</t>
        </is>
      </c>
      <c r="F23" s="8" t="n">
        <v>0.34</v>
      </c>
      <c r="G23" s="6" t="inlineStr">
        <is>
          <t>Citrine</t>
        </is>
      </c>
      <c r="H23" s="8" t="n">
        <v>0.2</v>
      </c>
      <c r="I23" s="22" t="n">
        <v>14</v>
      </c>
    </row>
    <row r="24">
      <c r="A24" s="24" t="n">
        <v>20</v>
      </c>
      <c r="B24" s="25" t="inlineStr">
        <is>
          <t>Topaz</t>
        </is>
      </c>
      <c r="C24" s="24" t="inlineStr">
        <is>
          <t>Amethyst</t>
        </is>
      </c>
      <c r="D24" s="35" t="n">
        <v>0.46</v>
      </c>
      <c r="E24" s="24" t="inlineStr">
        <is>
          <t>Citrine</t>
        </is>
      </c>
      <c r="F24" s="35" t="n">
        <v>0.34</v>
      </c>
      <c r="G24" s="24" t="inlineStr">
        <is>
          <t>Turquoise</t>
        </is>
      </c>
      <c r="H24" s="35" t="n">
        <v>0.2</v>
      </c>
      <c r="I24" s="28" t="n">
        <v>15</v>
      </c>
    </row>
    <row r="25">
      <c r="A25" s="6" t="n">
        <v>21</v>
      </c>
      <c r="B25" s="20" t="inlineStr">
        <is>
          <t>Peridot</t>
        </is>
      </c>
      <c r="C25" s="6" t="inlineStr">
        <is>
          <t>Citrine</t>
        </is>
      </c>
      <c r="D25" s="8" t="n">
        <v>0.46</v>
      </c>
      <c r="E25" s="6" t="inlineStr">
        <is>
          <t>Turquoise</t>
        </is>
      </c>
      <c r="F25" s="8" t="n">
        <v>0.34</v>
      </c>
      <c r="G25" s="6" t="inlineStr">
        <is>
          <t>Garnet</t>
        </is>
      </c>
      <c r="H25" s="8" t="n">
        <v>0.2</v>
      </c>
      <c r="I25" s="22" t="n">
        <v>16</v>
      </c>
    </row>
    <row r="26">
      <c r="A26" s="24" t="n">
        <v>22</v>
      </c>
      <c r="B26" s="25" t="inlineStr">
        <is>
          <t>Lapis Lazuli</t>
        </is>
      </c>
      <c r="C26" s="24" t="inlineStr">
        <is>
          <t>Turquoise</t>
        </is>
      </c>
      <c r="D26" s="35" t="n">
        <v>0.46</v>
      </c>
      <c r="E26" s="24" t="inlineStr">
        <is>
          <t>Garnet</t>
        </is>
      </c>
      <c r="F26" s="35" t="n">
        <v>0.34</v>
      </c>
      <c r="G26" s="24" t="inlineStr">
        <is>
          <t>Topaz</t>
        </is>
      </c>
      <c r="H26" s="35" t="n">
        <v>0.2</v>
      </c>
      <c r="I26" s="28" t="n">
        <v>17</v>
      </c>
    </row>
    <row r="27">
      <c r="A27" s="6" t="n">
        <v>23</v>
      </c>
      <c r="B27" s="20" t="inlineStr">
        <is>
          <t>Aquamarine</t>
        </is>
      </c>
      <c r="C27" s="6" t="inlineStr">
        <is>
          <t>Garnet</t>
        </is>
      </c>
      <c r="D27" s="8" t="n">
        <v>0.46</v>
      </c>
      <c r="E27" s="6" t="inlineStr">
        <is>
          <t>Topaz</t>
        </is>
      </c>
      <c r="F27" s="8" t="n">
        <v>0.34</v>
      </c>
      <c r="G27" s="6" t="inlineStr">
        <is>
          <t>Peridot</t>
        </is>
      </c>
      <c r="H27" s="8" t="n">
        <v>0.2</v>
      </c>
      <c r="I27" s="22" t="n">
        <v>18</v>
      </c>
    </row>
    <row r="28">
      <c r="A28" s="24" t="n">
        <v>24</v>
      </c>
      <c r="B28" s="25" t="inlineStr">
        <is>
          <t>Tourmaline</t>
        </is>
      </c>
      <c r="C28" s="24" t="inlineStr">
        <is>
          <t>Topaz</t>
        </is>
      </c>
      <c r="D28" s="35" t="n">
        <v>0.46</v>
      </c>
      <c r="E28" s="24" t="inlineStr">
        <is>
          <t>Peridot</t>
        </is>
      </c>
      <c r="F28" s="35" t="n">
        <v>0.34</v>
      </c>
      <c r="G28" s="24" t="inlineStr">
        <is>
          <t>Lapis Lazuli</t>
        </is>
      </c>
      <c r="H28" s="35" t="n">
        <v>0.2</v>
      </c>
      <c r="I28" s="28" t="n">
        <v>19</v>
      </c>
    </row>
    <row r="29">
      <c r="A29" s="6" t="n">
        <v>25</v>
      </c>
      <c r="B29" s="20" t="inlineStr">
        <is>
          <t>Tanzanite</t>
        </is>
      </c>
      <c r="C29" s="6" t="inlineStr">
        <is>
          <t>Peridot</t>
        </is>
      </c>
      <c r="D29" s="8" t="n">
        <v>0.46</v>
      </c>
      <c r="E29" s="6" t="inlineStr">
        <is>
          <t>Lapis Lazuli</t>
        </is>
      </c>
      <c r="F29" s="8" t="n">
        <v>0.34</v>
      </c>
      <c r="G29" s="6" t="inlineStr">
        <is>
          <t>Aquamarine</t>
        </is>
      </c>
      <c r="H29" s="8" t="n">
        <v>0.2</v>
      </c>
      <c r="I29" s="22" t="n">
        <v>20</v>
      </c>
    </row>
    <row r="30">
      <c r="A30" s="24" t="n">
        <v>26</v>
      </c>
      <c r="B30" s="25" t="inlineStr">
        <is>
          <t>Black Opal</t>
        </is>
      </c>
      <c r="C30" s="24" t="inlineStr">
        <is>
          <t>Lapis Lazuli</t>
        </is>
      </c>
      <c r="D30" s="35" t="n">
        <v>0.46</v>
      </c>
      <c r="E30" s="24" t="inlineStr">
        <is>
          <t>Aquamarine</t>
        </is>
      </c>
      <c r="F30" s="35" t="n">
        <v>0.34</v>
      </c>
      <c r="G30" s="24" t="inlineStr">
        <is>
          <t>Tourmaline</t>
        </is>
      </c>
      <c r="H30" s="35" t="n">
        <v>0.2</v>
      </c>
      <c r="I30" s="28" t="n">
        <v>21</v>
      </c>
    </row>
    <row r="31">
      <c r="A31" s="6" t="n">
        <v>27</v>
      </c>
      <c r="B31" s="20" t="inlineStr">
        <is>
          <t>Emerald</t>
        </is>
      </c>
      <c r="C31" s="6" t="inlineStr">
        <is>
          <t>Aquamarine</t>
        </is>
      </c>
      <c r="D31" s="8" t="n">
        <v>0.46</v>
      </c>
      <c r="E31" s="6" t="inlineStr">
        <is>
          <t>Tourmaline</t>
        </is>
      </c>
      <c r="F31" s="8" t="n">
        <v>0.34</v>
      </c>
      <c r="G31" s="6" t="inlineStr">
        <is>
          <t>Tanzanite</t>
        </is>
      </c>
      <c r="H31" s="8" t="n">
        <v>0.2</v>
      </c>
      <c r="I31" s="22" t="n">
        <v>22</v>
      </c>
    </row>
    <row r="32">
      <c r="A32" s="24" t="n">
        <v>28</v>
      </c>
      <c r="B32" s="25" t="inlineStr">
        <is>
          <t>Sapphire</t>
        </is>
      </c>
      <c r="C32" s="24" t="inlineStr">
        <is>
          <t>Tourmaline</t>
        </is>
      </c>
      <c r="D32" s="35" t="n">
        <v>0.46</v>
      </c>
      <c r="E32" s="24" t="inlineStr">
        <is>
          <t>Tanzanite</t>
        </is>
      </c>
      <c r="F32" s="35" t="n">
        <v>0.34</v>
      </c>
      <c r="G32" s="24" t="inlineStr">
        <is>
          <t>Black Opal</t>
        </is>
      </c>
      <c r="H32" s="35" t="n">
        <v>0.2</v>
      </c>
      <c r="I32" s="28" t="n">
        <v>23</v>
      </c>
    </row>
    <row r="33">
      <c r="A33" s="6" t="n">
        <v>29</v>
      </c>
      <c r="B33" s="20" t="inlineStr">
        <is>
          <t>Ruby</t>
        </is>
      </c>
      <c r="C33" s="6" t="inlineStr">
        <is>
          <t>Tanzanite</t>
        </is>
      </c>
      <c r="D33" s="8" t="n">
        <v>0.46</v>
      </c>
      <c r="E33" s="6" t="inlineStr">
        <is>
          <t>Black Opal</t>
        </is>
      </c>
      <c r="F33" s="8" t="n">
        <v>0.34</v>
      </c>
      <c r="G33" s="6" t="inlineStr">
        <is>
          <t>Emerald</t>
        </is>
      </c>
      <c r="H33" s="8" t="n">
        <v>0.2</v>
      </c>
      <c r="I33" s="22" t="n">
        <v>24</v>
      </c>
    </row>
    <row r="34">
      <c r="A34" s="24" t="n">
        <v>30</v>
      </c>
      <c r="B34" s="25" t="inlineStr">
        <is>
          <t>Jadeite</t>
        </is>
      </c>
      <c r="C34" s="24" t="inlineStr">
        <is>
          <t>Black Opal</t>
        </is>
      </c>
      <c r="D34" s="35" t="n">
        <v>0.46</v>
      </c>
      <c r="E34" s="24" t="inlineStr">
        <is>
          <t>Emerald</t>
        </is>
      </c>
      <c r="F34" s="35" t="n">
        <v>0.34</v>
      </c>
      <c r="G34" s="24" t="inlineStr">
        <is>
          <t>Sapphire</t>
        </is>
      </c>
      <c r="H34" s="35" t="n">
        <v>0.2</v>
      </c>
      <c r="I34" s="28" t="n">
        <v>25</v>
      </c>
    </row>
    <row r="35">
      <c r="A35" s="6" t="n">
        <v>31</v>
      </c>
      <c r="B35" s="20" t="inlineStr">
        <is>
          <t>Alexandrite</t>
        </is>
      </c>
      <c r="C35" s="6" t="inlineStr">
        <is>
          <t>Emerald</t>
        </is>
      </c>
      <c r="D35" s="8" t="n">
        <v>0.46</v>
      </c>
      <c r="E35" s="6" t="inlineStr">
        <is>
          <t>Sapphire</t>
        </is>
      </c>
      <c r="F35" s="8" t="n">
        <v>0.34</v>
      </c>
      <c r="G35" s="6" t="inlineStr">
        <is>
          <t>Ruby</t>
        </is>
      </c>
      <c r="H35" s="8" t="n">
        <v>0.2</v>
      </c>
      <c r="I35" s="22" t="n">
        <v>26</v>
      </c>
    </row>
    <row r="36">
      <c r="A36" s="24" t="n">
        <v>32</v>
      </c>
      <c r="B36" s="25" t="inlineStr">
        <is>
          <t>Paraiba</t>
        </is>
      </c>
      <c r="C36" s="24" t="inlineStr">
        <is>
          <t>Sapphire</t>
        </is>
      </c>
      <c r="D36" s="35" t="n">
        <v>0.46</v>
      </c>
      <c r="E36" s="24" t="inlineStr">
        <is>
          <t>Ruby</t>
        </is>
      </c>
      <c r="F36" s="35" t="n">
        <v>0.34</v>
      </c>
      <c r="G36" s="24" t="inlineStr">
        <is>
          <t>Jadeite</t>
        </is>
      </c>
      <c r="H36" s="35" t="n">
        <v>0.2</v>
      </c>
      <c r="I36" s="28" t="n">
        <v>27</v>
      </c>
    </row>
    <row r="37">
      <c r="A37" s="6" t="n">
        <v>33</v>
      </c>
      <c r="B37" s="20" t="inlineStr">
        <is>
          <t>Red Beryl</t>
        </is>
      </c>
      <c r="C37" s="6" t="inlineStr">
        <is>
          <t>Ruby</t>
        </is>
      </c>
      <c r="D37" s="8" t="n">
        <v>0.46</v>
      </c>
      <c r="E37" s="6" t="inlineStr">
        <is>
          <t>Jadeite</t>
        </is>
      </c>
      <c r="F37" s="8" t="n">
        <v>0.34</v>
      </c>
      <c r="G37" s="6" t="inlineStr">
        <is>
          <t>Alexandrite</t>
        </is>
      </c>
      <c r="H37" s="8" t="n">
        <v>0.2</v>
      </c>
      <c r="I37" s="22" t="n">
        <v>28</v>
      </c>
    </row>
    <row r="38">
      <c r="A38" s="24" t="n">
        <v>34</v>
      </c>
      <c r="B38" s="25" t="inlineStr">
        <is>
          <t>Diamond</t>
        </is>
      </c>
      <c r="C38" s="24" t="inlineStr">
        <is>
          <t>Jadeite</t>
        </is>
      </c>
      <c r="D38" s="35" t="n">
        <v>0.46</v>
      </c>
      <c r="E38" s="24" t="inlineStr">
        <is>
          <t>Alexandrite</t>
        </is>
      </c>
      <c r="F38" s="35" t="n">
        <v>0.34</v>
      </c>
      <c r="G38" s="24" t="inlineStr">
        <is>
          <t>Paraiba</t>
        </is>
      </c>
      <c r="H38" s="35" t="n">
        <v>0.2</v>
      </c>
      <c r="I38" s="28" t="n">
        <v>29</v>
      </c>
    </row>
    <row r="39">
      <c r="A39" s="6" t="n">
        <v>35</v>
      </c>
      <c r="B39" s="20" t="inlineStr">
        <is>
          <t>Crown</t>
        </is>
      </c>
      <c r="C39" s="6" t="inlineStr">
        <is>
          <t>Red Beryl</t>
        </is>
      </c>
      <c r="D39" s="8" t="n">
        <v>0.46</v>
      </c>
      <c r="E39" s="6" t="inlineStr">
        <is>
          <t>Diamond</t>
        </is>
      </c>
      <c r="F39" s="8" t="n">
        <v>0.34</v>
      </c>
      <c r="G39" s="6" t="inlineStr">
        <is>
          <t>Crown</t>
        </is>
      </c>
      <c r="H39" s="8" t="n">
        <v>0.2</v>
      </c>
      <c r="I39" s="22" t="n">
        <v>32</v>
      </c>
    </row>
    <row r="41">
      <c r="A41" s="2" t="inlineStr">
        <is>
          <t>The window trails your highest by dealBehind and stops three from the top. 'Rungs stranded below' counts what can no longer be dealt at all.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26" customWidth="1" min="3" max="3"/>
    <col width="30" customWidth="1" min="4" max="4"/>
    <col width="11" customWidth="1" min="5" max="5"/>
    <col width="66" customWidth="1" min="6" max="6"/>
  </cols>
  <sheetData>
    <row r="1">
      <c r="A1" s="1" t="inlineStr">
        <is>
          <t>The three pieces that are not on the ladder</t>
        </is>
      </c>
    </row>
    <row r="2">
      <c r="A2" s="2" t="inlineStr">
        <is>
          <t>None of them are worth points themselves. They arrive with the seam.</t>
        </is>
      </c>
    </row>
    <row r="4" ht="30" customHeight="1">
      <c r="A4" s="9" t="inlineStr">
        <is>
          <t>Piece</t>
        </is>
      </c>
      <c r="B4" s="9" t="inlineStr">
        <is>
          <t>Worth</t>
        </is>
      </c>
      <c r="C4" s="9" t="inlineStr">
        <is>
          <t>Starts arriving</t>
        </is>
      </c>
      <c r="D4" s="9" t="inlineStr">
        <is>
          <t>Chance</t>
        </is>
      </c>
      <c r="E4" s="9" t="inlineStr">
        <is>
          <t>Max per burst</t>
        </is>
      </c>
      <c r="F4" s="9" t="inlineStr">
        <is>
          <t>What it does</t>
        </is>
      </c>
    </row>
    <row r="5" ht="58" customHeight="1">
      <c r="A5" s="3" t="inlineStr">
        <is>
          <t>Rubble</t>
        </is>
      </c>
      <c r="B5" s="36" t="n">
        <v>0</v>
      </c>
      <c r="C5" s="37" t="inlineStr">
        <is>
          <t>From highest tier 8 onward</t>
        </is>
      </c>
      <c r="D5" s="37" t="inlineStr">
        <is>
          <t>rises 5% per rung, capped 45%</t>
        </is>
      </c>
      <c r="E5" s="4" t="n">
        <v>1</v>
      </c>
      <c r="F5" s="37" t="inlineStr">
        <is>
          <t>Blocks a square. Cleared by a merge landing next to it. Pays nothing.</t>
        </is>
      </c>
    </row>
    <row r="6" ht="58" customHeight="1">
      <c r="A6" s="38" t="inlineStr">
        <is>
          <t>Dynamite</t>
        </is>
      </c>
      <c r="B6" s="39" t="n">
        <v>0</v>
      </c>
      <c r="C6" s="40" t="inlineStr">
        <is>
          <t>From 1250 points</t>
        </is>
      </c>
      <c r="D6" s="40" t="inlineStr">
        <is>
          <t>7% per rained piece</t>
        </is>
      </c>
      <c r="E6" s="17" t="n">
        <v>1</v>
      </c>
      <c r="F6" s="40" t="inlineStr">
        <is>
          <t>Clears the 8 squares around it. Lit by an adjacent merge, or self-fires after 12 drops. Pays 100% of what it destroys.</t>
        </is>
      </c>
    </row>
    <row r="7" ht="58" customHeight="1">
      <c r="A7" s="3" t="inlineStr">
        <is>
          <t>Star</t>
        </is>
      </c>
      <c r="B7" s="36" t="n">
        <v>0</v>
      </c>
      <c r="C7" s="37" t="inlineStr">
        <is>
          <t>From 6250 points</t>
        </is>
      </c>
      <c r="D7" s="37" t="inlineStr">
        <is>
          <t>1.5% per rained piece</t>
        </is>
      </c>
      <c r="E7" s="4" t="n">
        <v>1</v>
      </c>
      <c r="F7" s="37" t="inlineStr">
        <is>
          <t>Woken by an adjacent merge; pulls every piece of one kind you name off the board. Pays 100% of what it removes.</t>
        </is>
      </c>
    </row>
    <row r="9">
      <c r="A9" s="2" t="inlineStr">
        <is>
          <t>Rubble pays nothing wherever it is destroyed. Dynamite and the star pay the full worth of every piece they remove (blastPays on Config).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2026-09-02T13:13:04Z</dcterms:created>
  <dcterms:modified xsi:type="dcterms:W3CDTF">2026-09-02T13:13:04Z</dcterms:modified>
</cp:coreProperties>
</file>